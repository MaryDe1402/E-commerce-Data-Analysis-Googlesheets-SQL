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5"/>
    <sheet state="visible" name="Data-cleaning" sheetId="2" r:id="rId6"/>
    <sheet state="visible" name="EDA" sheetId="3" r:id="rId7"/>
    <sheet state="visible" name="SQL" sheetId="4" r:id="rId8"/>
    <sheet state="visible" name="Dashboard" sheetId="5" r:id="rId9"/>
    <sheet state="visible" name="Conclusions" sheetId="6" r:id="rId10"/>
  </sheets>
  <definedNames/>
  <calcPr/>
  <pivotCaches>
    <pivotCache cacheId="0" r:id="rId11"/>
    <pivotCache cacheId="1" r:id="rId12"/>
    <pivotCache cacheId="2" r:id="rId13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tc={2887feae-ba3a-48d2-a23a-a49027c36466}</author>
    <author>tc={29190d82-5599-41ed-a904-8238ae801be5}</author>
    <author>tc={343896de-edde-4804-b023-dadefeed0bae}</author>
    <author>tc={3e7149ed-44b2-4398-8780-fb7a7c9ea30f}</author>
    <author>tc={9070b858-70f8-4b02-bf44-41d70e9f8d44}</author>
    <author>tc={97201a33-d73d-42eb-80bc-9c8352ccf1d9}</author>
    <author>tc={9953009b-f9eb-4462-83d2-453d15e116b2}</author>
    <author>tc={a64c1a6c-eb8b-49e3-b301-162a0b009ecd}</author>
    <author>tc={aa809cb8-434a-4fe0-a2d5-b057d6ab69b0}</author>
    <author>tc={b1c82b4e-8774-4285-857f-1ece09227d18}</author>
    <author>tc={c9b5bcda-217b-40b3-a445-cbda15fe5318}</author>
    <author>tc={d28f4d8d-f1c9-43ad-968e-45b3cdf52caf}</author>
    <author>tc={dea475b8-df4e-4ae6-9bdc-1d1c41f35a2f}</author>
    <author>tc={fe7db91d-8bab-4d32-a897-c252eb785a1c}</author>
  </authors>
  <commentList>
    <comment authorId="0" xr:uid="{2887feae-ba3a-48d2-a23a-a49027c36466}" ref="F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Floating point
</t>
      </text>
    </comment>
    <comment authorId="1" xr:uid="{29190d82-5599-41ed-a904-8238ae801be5}" ref="J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String
</t>
      </text>
    </comment>
    <comment authorId="2" xr:uid="{343896de-edde-4804-b023-dadefeed0bae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String
</t>
      </text>
    </comment>
    <comment authorId="3" xr:uid="{3e7149ed-44b2-4398-8780-fb7a7c9ea30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String
</t>
      </text>
    </comment>
    <comment authorId="4" xr:uid="{9070b858-70f8-4b02-bf44-41d70e9f8d44}" ref="C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Date
</t>
      </text>
    </comment>
    <comment authorId="5" xr:uid="{97201a33-d73d-42eb-80bc-9c8352ccf1d9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String
</t>
      </text>
    </comment>
    <comment authorId="6" xr:uid="{9953009b-f9eb-4462-83d2-453d15e116b2}" ref="K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String
</t>
      </text>
    </comment>
    <comment authorId="7" xr:uid="{a64c1a6c-eb8b-49e3-b301-162a0b009ecd}" ref="I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String
</t>
      </text>
    </comment>
    <comment authorId="8" xr:uid="{aa809cb8-434a-4fe0-a2d5-b057d6ab69b0}" ref="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Floating point
</t>
      </text>
    </comment>
    <comment authorId="9" xr:uid="{b1c82b4e-8774-4285-857f-1ece09227d18}" ref="N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Float point
</t>
      </text>
    </comment>
    <comment authorId="10" xr:uid="{c9b5bcda-217b-40b3-a445-cbda15fe5318}" ref="G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Integer
</t>
      </text>
    </comment>
    <comment authorId="11" xr:uid="{d28f4d8d-f1c9-43ad-968e-45b3cdf52caf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String
</t>
      </text>
    </comment>
    <comment authorId="12" xr:uid="{dea475b8-df4e-4ae6-9bdc-1d1c41f35a2f}" ref="M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Floating point
</t>
      </text>
    </comment>
    <comment authorId="13" xr:uid="{fe7db91d-8bab-4d32-a897-c252eb785a1c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String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tc={68eb2aee-4869-406a-b108-d075a794111c}</author>
    <author>tc={7567df7f-6f31-4949-a558-11349c6ec07f}</author>
    <author>tc={b41479fa-7d26-4c27-af80-dce55122b9f9}</author>
  </authors>
  <commentList>
    <comment authorId="0" xr:uid="{68eb2aee-4869-406a-b108-d075a794111c}" ref="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кількість замовлень
</t>
      </text>
    </comment>
    <comment authorId="1" xr:uid="{7567df7f-6f31-4949-a558-11349c6ec07f}" ref="D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сумма замовлень
</t>
      </text>
    </comment>
    <comment authorId="2" xr:uid="{b41479fa-7d26-4c27-af80-dce55122b9f9}" ref="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кількість одиниць
</t>
      </text>
    </comment>
  </commentList>
</comments>
</file>

<file path=xl/sharedStrings.xml><?xml version="1.0" encoding="utf-8"?>
<sst xmlns="http://schemas.openxmlformats.org/spreadsheetml/2006/main" count="12792" uniqueCount="3405">
  <si>
    <t>order_id</t>
  </si>
  <si>
    <t>user_id</t>
  </si>
  <si>
    <t>order_date</t>
  </si>
  <si>
    <t>product_id</t>
  </si>
  <si>
    <t>category</t>
  </si>
  <si>
    <t>price</t>
  </si>
  <si>
    <t>quantity</t>
  </si>
  <si>
    <t>discount</t>
  </si>
  <si>
    <t>payment_method</t>
  </si>
  <si>
    <t>delivery_status</t>
  </si>
  <si>
    <t>country</t>
  </si>
  <si>
    <t>device</t>
  </si>
  <si>
    <t>total</t>
  </si>
  <si>
    <t>e3e70682-c209-4cac-a29f-6fbed82c07cd</t>
  </si>
  <si>
    <t>e5a1bdae-a747-495e-b0c9-52af9db31510</t>
  </si>
  <si>
    <t>2023-06-22</t>
  </si>
  <si>
    <t>47905535</t>
  </si>
  <si>
    <t>Books</t>
  </si>
  <si>
    <t>1498.00</t>
  </si>
  <si>
    <t>4</t>
  </si>
  <si>
    <t>16%</t>
  </si>
  <si>
    <t>Credit Card</t>
  </si>
  <si>
    <t>Cancelled</t>
  </si>
  <si>
    <t>Germany</t>
  </si>
  <si>
    <t>Mobile</t>
  </si>
  <si>
    <t>5033.28</t>
  </si>
  <si>
    <t>f728b4fa-4248-4e3a-8a5d-2f346baa9455</t>
  </si>
  <si>
    <t>ca6ef7ce-74db-49f3-92a3-3c33037e5725</t>
  </si>
  <si>
    <t>2023-02-17</t>
  </si>
  <si>
    <t>3738306</t>
  </si>
  <si>
    <t>Toys</t>
  </si>
  <si>
    <t>6723.00</t>
  </si>
  <si>
    <t>3</t>
  </si>
  <si>
    <t>7%</t>
  </si>
  <si>
    <t>COD</t>
  </si>
  <si>
    <t>UK</t>
  </si>
  <si>
    <t>Tablet</t>
  </si>
  <si>
    <t>18757.17</t>
  </si>
  <si>
    <t>eb1167b3-67a9-4378-bc65-c1e582e2e662</t>
  </si>
  <si>
    <t>b1e186d7-df25-4e5d-befa-9c478dd6650f</t>
  </si>
  <si>
    <t>2023-04-28</t>
  </si>
  <si>
    <t>23771949</t>
  </si>
  <si>
    <t>Home</t>
  </si>
  <si>
    <t>6570.00</t>
  </si>
  <si>
    <t>1</t>
  </si>
  <si>
    <t>Delivered</t>
  </si>
  <si>
    <t>Desktop</t>
  </si>
  <si>
    <t>6110.1</t>
  </si>
  <si>
    <t>f7c1bd87-4da5-4709-9471-3d60c8a70639</t>
  </si>
  <si>
    <t>dba45b5e-1498-465b-b9fe-0a1b7efbe877</t>
  </si>
  <si>
    <t>2023-07-12</t>
  </si>
  <si>
    <t>46541918</t>
  </si>
  <si>
    <t>Clothing</t>
  </si>
  <si>
    <t>6625.00</t>
  </si>
  <si>
    <t>8%</t>
  </si>
  <si>
    <t>PayPal</t>
  </si>
  <si>
    <t>Pending</t>
  </si>
  <si>
    <t>18285</t>
  </si>
  <si>
    <t>e443df78-9558-467f-9ba9-1faf7a024204</t>
  </si>
  <si>
    <t>66e51767-dcb3-4e4a-891d-fa7b0d3dc6aa</t>
  </si>
  <si>
    <t>2023-11-20</t>
  </si>
  <si>
    <t>75991326</t>
  </si>
  <si>
    <t>1570.00</t>
  </si>
  <si>
    <t>2</t>
  </si>
  <si>
    <t>11%</t>
  </si>
  <si>
    <t>Bank Transfer</t>
  </si>
  <si>
    <t>2794.6</t>
  </si>
  <si>
    <t>23a7711a-8133-4876-b7eb-dcd9e87a1613</t>
  </si>
  <si>
    <t>eceb9505-dbc3-4e56-88a1-7945ca6d3e06</t>
  </si>
  <si>
    <t>2023-09-09</t>
  </si>
  <si>
    <t>63074284</t>
  </si>
  <si>
    <t>8470.00</t>
  </si>
  <si>
    <t>9%</t>
  </si>
  <si>
    <t>Returned</t>
  </si>
  <si>
    <t>15415.4</t>
  </si>
  <si>
    <t>1846d424-c17c-4279-a3c6-612f48268673</t>
  </si>
  <si>
    <t>840fbb0b-a5e3-47af-871d-ade6432255ee</t>
  </si>
  <si>
    <t>2023-07-15</t>
  </si>
  <si>
    <t>52185519</t>
  </si>
  <si>
    <t>3109.00</t>
  </si>
  <si>
    <t>12%</t>
  </si>
  <si>
    <t>USA</t>
  </si>
  <si>
    <t>5471.84</t>
  </si>
  <si>
    <t>fcbd04c3-4021-4ef7-8ca5-a5a19e4d6e3c</t>
  </si>
  <si>
    <t>1480f037-d39a-4bb0-962b-68d41880fa4b</t>
  </si>
  <si>
    <t>2023-12-26</t>
  </si>
  <si>
    <t>53348661</t>
  </si>
  <si>
    <t>8380.00</t>
  </si>
  <si>
    <t>India</t>
  </si>
  <si>
    <t>14078.4</t>
  </si>
  <si>
    <t>b4862b21-fb97-4435-8856-1712e8e5216a</t>
  </si>
  <si>
    <t>19365f61-f484-478d-9bc9-e8895567a84c</t>
  </si>
  <si>
    <t>2023-01-10</t>
  </si>
  <si>
    <t>60271426</t>
  </si>
  <si>
    <t>2665.00</t>
  </si>
  <si>
    <t>6%</t>
  </si>
  <si>
    <t>7515.3</t>
  </si>
  <si>
    <t>259f4329-e6f4-490b-9a16-4106cf6a659e</t>
  </si>
  <si>
    <t>277e5c18-0877-4fe6-b7d8-70b678ac8704</t>
  </si>
  <si>
    <t>2023-07-31</t>
  </si>
  <si>
    <t>83975295</t>
  </si>
  <si>
    <t>7777.00</t>
  </si>
  <si>
    <t>7154.84</t>
  </si>
  <si>
    <t>12e0c8b2-bad6-40fb-9948-8dec4f65d4d9</t>
  </si>
  <si>
    <t>ce03a34d-a022-4fee-843f-b606e8b7e2da</t>
  </si>
  <si>
    <t>2023-10-05</t>
  </si>
  <si>
    <t>29643127</t>
  </si>
  <si>
    <t>1049.00</t>
  </si>
  <si>
    <t>1972.12</t>
  </si>
  <si>
    <t>5487ce1e-af19-422a-99b8-a714e61a441c</t>
  </si>
  <si>
    <t>002f9cc4-096b-4aff-b5b7-751f497e28aa</t>
  </si>
  <si>
    <t>2023-08-31</t>
  </si>
  <si>
    <t>27862049</t>
  </si>
  <si>
    <t>4801.00</t>
  </si>
  <si>
    <t>14%</t>
  </si>
  <si>
    <t>12386.58</t>
  </si>
  <si>
    <t>5a921187-19c7-4df4-8f4f-f31e78de5857</t>
  </si>
  <si>
    <t>f1c51dda-2828-4370-9672-ebc7606e8502</t>
  </si>
  <si>
    <t>2023-10-20</t>
  </si>
  <si>
    <t>79151177</t>
  </si>
  <si>
    <t>3726.00</t>
  </si>
  <si>
    <t>France</t>
  </si>
  <si>
    <t>13562.64</t>
  </si>
  <si>
    <t>a3f2c9bf-9c63-46b9-90f2-44556f25e2a2</t>
  </si>
  <si>
    <t>291a58af-259a-4b28-b22b-89748c5c192f</t>
  </si>
  <si>
    <t>2023-03-29</t>
  </si>
  <si>
    <t>38009174</t>
  </si>
  <si>
    <t>7659.00</t>
  </si>
  <si>
    <t>18%</t>
  </si>
  <si>
    <t>12560.76</t>
  </si>
  <si>
    <t>8d723104-f773-43c1-b458-a748e9bb17bc</t>
  </si>
  <si>
    <t>28b299bc-ebbe-4a41-8781-e11f2cb38568</t>
  </si>
  <si>
    <t>2023-03-12</t>
  </si>
  <si>
    <t>49486230</t>
  </si>
  <si>
    <t>9819.00</t>
  </si>
  <si>
    <t>34955.64</t>
  </si>
  <si>
    <t>85776e9a-dd84-439e-b154-5a137a1d5006</t>
  </si>
  <si>
    <t>f172840f-3e19-40ba-ae09-ccfba3dee81f</t>
  </si>
  <si>
    <t>2023-03-30</t>
  </si>
  <si>
    <t>19827308</t>
  </si>
  <si>
    <t>2537.00</t>
  </si>
  <si>
    <t>10%</t>
  </si>
  <si>
    <t>4566.6</t>
  </si>
  <si>
    <t>eb2083e6-ce16-4dba-8ff1-8e0242af9fc3</t>
  </si>
  <si>
    <t>540988e7-9fed-4060-af23-d4afe0ff58a5</t>
  </si>
  <si>
    <t>2023-11-11</t>
  </si>
  <si>
    <t>32922998</t>
  </si>
  <si>
    <t>759.00</t>
  </si>
  <si>
    <t>1381.38</t>
  </si>
  <si>
    <t>17e0aa3c-0398-4ca8-aa7e-9d498c778ea6</t>
  </si>
  <si>
    <t>f5657d00-7ba0-4f58-861a-e8d1f212cc6f</t>
  </si>
  <si>
    <t>2023-07-13</t>
  </si>
  <si>
    <t>21141492</t>
  </si>
  <si>
    <t>7686.00</t>
  </si>
  <si>
    <t>21443.94</t>
  </si>
  <si>
    <t>b5d32b16-6619-4cb1-9710-37d1b83e90ec</t>
  </si>
  <si>
    <t>65ea29d1-adae-4e45-a036-e74be34d7804</t>
  </si>
  <si>
    <t>2023-02-09</t>
  </si>
  <si>
    <t>79496018</t>
  </si>
  <si>
    <t>6111.00</t>
  </si>
  <si>
    <t>5683.23</t>
  </si>
  <si>
    <t>a0116be5-ab0c-4681-88f8-e3d0d3290a4c</t>
  </si>
  <si>
    <t>a2bb6283-3d83-4d7c-b9f7-06d40b4ea16d</t>
  </si>
  <si>
    <t>27055465</t>
  </si>
  <si>
    <t>1184.00</t>
  </si>
  <si>
    <t>3338.88</t>
  </si>
  <si>
    <t>d3fbf47a-7e5b-4e7f-9ca5-499d004ae545</t>
  </si>
  <si>
    <t>f75a7e6f-2b86-4694-941d-1a814815642c</t>
  </si>
  <si>
    <t>2023-06-24</t>
  </si>
  <si>
    <t>60433190</t>
  </si>
  <si>
    <t>3818.00</t>
  </si>
  <si>
    <t>10652.22</t>
  </si>
  <si>
    <t>baf3897a-3e70-416a-9548-5822de1b372a</t>
  </si>
  <si>
    <t>29e316ad-39dd-4477-9a22-0eb23cf9d1fe</t>
  </si>
  <si>
    <t>23837508</t>
  </si>
  <si>
    <t>3287.00</t>
  </si>
  <si>
    <t>12096.16</t>
  </si>
  <si>
    <t>101fbccc-ded7-43e8-b421-eaeb534097ca</t>
  </si>
  <si>
    <t>5d005716-7680-491b-abb6-204ee0db22d3</t>
  </si>
  <si>
    <t>2023-12-04</t>
  </si>
  <si>
    <t>46988256</t>
  </si>
  <si>
    <t>7639.00</t>
  </si>
  <si>
    <t>20625.3</t>
  </si>
  <si>
    <t>38c1962e-9148-424f-aac1-c14f30e9c5cc</t>
  </si>
  <si>
    <t>62f25291-2353-4455-90bc-cb66e0631450</t>
  </si>
  <si>
    <t>2023-06-15</t>
  </si>
  <si>
    <t>98634170</t>
  </si>
  <si>
    <t>6848.00</t>
  </si>
  <si>
    <t>19105.92</t>
  </si>
  <si>
    <t>247a8333-f7b0-47d2-8da8-056c3d15eef7</t>
  </si>
  <si>
    <t>2982100c-0372-4e33-8550-7d2b909e7f78</t>
  </si>
  <si>
    <t>2023-01-26</t>
  </si>
  <si>
    <t>43441525</t>
  </si>
  <si>
    <t>3445.00</t>
  </si>
  <si>
    <t>5%</t>
  </si>
  <si>
    <t>9818.25</t>
  </si>
  <si>
    <t>1759edc3-72ae-4244-8b01-63c1cd9d2b7d</t>
  </si>
  <si>
    <t>afdb4e0b-0171-4f1d-956a-2f20ee283bb7</t>
  </si>
  <si>
    <t>2023-11-30</t>
  </si>
  <si>
    <t>70670486</t>
  </si>
  <si>
    <t>Electronics</t>
  </si>
  <si>
    <t>8324.00</t>
  </si>
  <si>
    <t>7408.36</t>
  </si>
  <si>
    <t>e005b860-51ef-4922-be43-c49e149818d1</t>
  </si>
  <si>
    <t>2c05b870-cd34-4cd7-b7ed-75b463d0fccd</t>
  </si>
  <si>
    <t>2023-03-14</t>
  </si>
  <si>
    <t>96799833</t>
  </si>
  <si>
    <t>9467.00</t>
  </si>
  <si>
    <t>35595.92</t>
  </si>
  <si>
    <t>7d41e602-eece-428b-bf7b-118e820865d6</t>
  </si>
  <si>
    <t>06714938-04fe-473d-a61c-ec19fff83cec</t>
  </si>
  <si>
    <t>2023-09-23</t>
  </si>
  <si>
    <t>20416430</t>
  </si>
  <si>
    <t>4105.00</t>
  </si>
  <si>
    <t>15%</t>
  </si>
  <si>
    <t>6978.5</t>
  </si>
  <si>
    <t>4a84eb03-8d1f-49b7-8d2b-9deb1beb3711</t>
  </si>
  <si>
    <t>00f24603-8295-4fe0-92c5-53b5d2f74429</t>
  </si>
  <si>
    <t>2023-04-26</t>
  </si>
  <si>
    <t>77486295</t>
  </si>
  <si>
    <t>9439.00</t>
  </si>
  <si>
    <t>16612.64</t>
  </si>
  <si>
    <t>552f233a-8c25-466a-9ff3-9849b4e1357d</t>
  </si>
  <si>
    <t>ecf150e6-c6f1-49c7-8c15-a57509c64c1d</t>
  </si>
  <si>
    <t>2023-09-01</t>
  </si>
  <si>
    <t>74203543</t>
  </si>
  <si>
    <t>6686.00</t>
  </si>
  <si>
    <t>23534.72</t>
  </si>
  <si>
    <t>3405095c-8a50-46c1-ac18-8efbd080e66e</t>
  </si>
  <si>
    <t>25cf51c4-9c89-4296-92b0-35e01ca5a2f5</t>
  </si>
  <si>
    <t>2023-07-17</t>
  </si>
  <si>
    <t>10645932</t>
  </si>
  <si>
    <t>9042.00</t>
  </si>
  <si>
    <t>33274.56</t>
  </si>
  <si>
    <t>8c1745a7-9a6a-4f92-8ca7-4147f6be1f72</t>
  </si>
  <si>
    <t>c96ef1a5-ac70-4464-a734-f9bbc7405255</t>
  </si>
  <si>
    <t>2023-12-02</t>
  </si>
  <si>
    <t>56213577</t>
  </si>
  <si>
    <t>6309.00</t>
  </si>
  <si>
    <t>17791.38</t>
  </si>
  <si>
    <t>1775336d-71ea-4d05-89a3-e80e966e1277</t>
  </si>
  <si>
    <t>6b325d48-06c4-4109-89a6-e611613f718d</t>
  </si>
  <si>
    <t>2023-12-05</t>
  </si>
  <si>
    <t>72566657</t>
  </si>
  <si>
    <t>423.00</t>
  </si>
  <si>
    <t>1505.88</t>
  </si>
  <si>
    <t>5129fb7c-6288-41a5-8c45-782198a6416d</t>
  </si>
  <si>
    <t>afb9f3a8-e9e7-41ba-916b-51ee6faefeda</t>
  </si>
  <si>
    <t>2023-04-10</t>
  </si>
  <si>
    <t>91187215</t>
  </si>
  <si>
    <t>9856.00</t>
  </si>
  <si>
    <t>26315.52</t>
  </si>
  <si>
    <t>2f120554-4a53-48cc-bdfa-bc08935ddd72</t>
  </si>
  <si>
    <t>ec2b5e21-3f7a-48e0-b611-8bd6553a773a</t>
  </si>
  <si>
    <t>2023-06-27</t>
  </si>
  <si>
    <t>8673619</t>
  </si>
  <si>
    <t>8745.00</t>
  </si>
  <si>
    <t>24136.2</t>
  </si>
  <si>
    <t>0870e15c-2fcd-41b5-924b-ace4307bf326</t>
  </si>
  <si>
    <t>37773772-829f-47ba-9d30-db822348e1b7</t>
  </si>
  <si>
    <t>60492449</t>
  </si>
  <si>
    <t>5504.00</t>
  </si>
  <si>
    <t>10237.44</t>
  </si>
  <si>
    <t>42930b33-a81a-4477-bb36-75b89cdeb3e6</t>
  </si>
  <si>
    <t>213a6ad8-12b3-4a24-a67f-ceeb8889832c</t>
  </si>
  <si>
    <t>2023-10-13</t>
  </si>
  <si>
    <t>81850204</t>
  </si>
  <si>
    <t>4734.00</t>
  </si>
  <si>
    <t>17610.48</t>
  </si>
  <si>
    <t>adc0da7a-16fe-4aa0-91af-923d79fdef7c</t>
  </si>
  <si>
    <t>59c07423-a89f-4916-90ec-83746862dc24</t>
  </si>
  <si>
    <t>2023-05-28</t>
  </si>
  <si>
    <t>15573353</t>
  </si>
  <si>
    <t>4995.00</t>
  </si>
  <si>
    <t>8191.8</t>
  </si>
  <si>
    <t>2648ee38-e074-45eb-a156-63abc1f254b8</t>
  </si>
  <si>
    <t>e54ce0de-6e79-4a92-98b7-f1a2f74f1905</t>
  </si>
  <si>
    <t>97482765</t>
  </si>
  <si>
    <t>1748.00</t>
  </si>
  <si>
    <t>6222.88</t>
  </si>
  <si>
    <t>148b2758-d7ab-4928-89e4-69e6ec62b2c8</t>
  </si>
  <si>
    <t>61bafa39-789c-4c72-bee2-9e686fa00319</t>
  </si>
  <si>
    <t>2023-10-16</t>
  </si>
  <si>
    <t>1015348</t>
  </si>
  <si>
    <t>8542.00</t>
  </si>
  <si>
    <t>15888.12</t>
  </si>
  <si>
    <t>d450fe4a-ec4f-417b-b306-d1a8e5eeac76</t>
  </si>
  <si>
    <t>3d7439ee-6514-4471-aa95-1570399bcb79</t>
  </si>
  <si>
    <t>81841189</t>
  </si>
  <si>
    <t>2568.00</t>
  </si>
  <si>
    <t>7010.64</t>
  </si>
  <si>
    <t>d67e55fd-642b-4a42-aef9-c00b8a64c1b9</t>
  </si>
  <si>
    <t>eba08424-65a5-4c1f-bb2e-cfc5a53011a2</t>
  </si>
  <si>
    <t>2023-07-05</t>
  </si>
  <si>
    <t>94031270</t>
  </si>
  <si>
    <t>2899.00</t>
  </si>
  <si>
    <t>7479.42</t>
  </si>
  <si>
    <t>85940927-468f-453d-864a-7a50b48d73f1</t>
  </si>
  <si>
    <t>409b3c5b-d5e8-489c-91ab-249d94d50a99</t>
  </si>
  <si>
    <t>2023-05-08</t>
  </si>
  <si>
    <t>22742797</t>
  </si>
  <si>
    <t>5029.00</t>
  </si>
  <si>
    <t>9052.2</t>
  </si>
  <si>
    <t>37176e84-d977-4993-bc49-d76fcfc6e625</t>
  </si>
  <si>
    <t>86ce563d-e291-45e1-869f-c269ff7acd86</t>
  </si>
  <si>
    <t>2023-02-02</t>
  </si>
  <si>
    <t>8601148</t>
  </si>
  <si>
    <t>3487.00</t>
  </si>
  <si>
    <t>9937.95</t>
  </si>
  <si>
    <t>d3447490-96fd-45d0-adf2-0806e5214606</t>
  </si>
  <si>
    <t>9aa1ecd6-058f-48d5-8ad6-cc515f2e1048</t>
  </si>
  <si>
    <t>2023-02-01</t>
  </si>
  <si>
    <t>16346376</t>
  </si>
  <si>
    <t>8312.00</t>
  </si>
  <si>
    <t>7896.4</t>
  </si>
  <si>
    <t>46743741-9466-4472-ab5f-5241f323ca74</t>
  </si>
  <si>
    <t>e072caae-797c-47bf-8793-85209c921e7f</t>
  </si>
  <si>
    <t>2023-07-22</t>
  </si>
  <si>
    <t>98852604</t>
  </si>
  <si>
    <t>8345.00</t>
  </si>
  <si>
    <t>13685.8</t>
  </si>
  <si>
    <t>a425799a-a905-4750-be1e-a9c573581a81</t>
  </si>
  <si>
    <t>9c684df1-0a51-4e87-86ba-68553cad275a</t>
  </si>
  <si>
    <t>2023-09-02</t>
  </si>
  <si>
    <t>96934586</t>
  </si>
  <si>
    <t>5180.00</t>
  </si>
  <si>
    <t>17%</t>
  </si>
  <si>
    <t>8598.8</t>
  </si>
  <si>
    <t>fb82860d-eabc-48d0-b341-facdff0ac0f1</t>
  </si>
  <si>
    <t>6409df32-cc4e-46da-9e09-89b952526d45</t>
  </si>
  <si>
    <t>2023-06-01</t>
  </si>
  <si>
    <t>57745428</t>
  </si>
  <si>
    <t>2237.00</t>
  </si>
  <si>
    <t>8053.2</t>
  </si>
  <si>
    <t>5306f3f5-1516-4570-9b7c-709acb175a5a</t>
  </si>
  <si>
    <t>88d3281a-1b4e-4428-a048-3bb2f6d080c4</t>
  </si>
  <si>
    <t>2023-06-13</t>
  </si>
  <si>
    <t>23750579</t>
  </si>
  <si>
    <t>4016.00</t>
  </si>
  <si>
    <t>10240.8</t>
  </si>
  <si>
    <t>964a870c-7c87-4b74-9d87-8f9f9cdf5a86</t>
  </si>
  <si>
    <t>24eac3f4-0c78-42f9-9a41-8b24e0acf9ff</t>
  </si>
  <si>
    <t>2023-07-03</t>
  </si>
  <si>
    <t>94301786</t>
  </si>
  <si>
    <t>7737.00</t>
  </si>
  <si>
    <t>13%</t>
  </si>
  <si>
    <t>6731.19</t>
  </si>
  <si>
    <t>30bcab0e-d857-4102-95d4-4936a1515607</t>
  </si>
  <si>
    <t>c48ae374-06dc-4579-a476-40a1b6a659ef</t>
  </si>
  <si>
    <t>2023-01-29</t>
  </si>
  <si>
    <t>23695825</t>
  </si>
  <si>
    <t>7803.00</t>
  </si>
  <si>
    <t>27466.56</t>
  </si>
  <si>
    <t>4562be7f-bb42-40b2-8426-465e3e37952d</t>
  </si>
  <si>
    <t>f9fb4010-dec7-42b7-bb22-fa316bc9e970</t>
  </si>
  <si>
    <t>2023-10-18</t>
  </si>
  <si>
    <t>7677502</t>
  </si>
  <si>
    <t>7771.00</t>
  </si>
  <si>
    <t>13987.8</t>
  </si>
  <si>
    <t>5f3f5638-3870-4a14-b490-b6081dfc8352</t>
  </si>
  <si>
    <t>1ad566c3-ecb0-4f48-aed6-3ea464a2bc48</t>
  </si>
  <si>
    <t>2023-05-09</t>
  </si>
  <si>
    <t>39317216</t>
  </si>
  <si>
    <t>5378.00</t>
  </si>
  <si>
    <t>4947.76</t>
  </si>
  <si>
    <t>6d16ee18-5521-46dd-aba4-b180cb69ca38</t>
  </si>
  <si>
    <t>7644d183-9aab-422d-b5ef-8aabb693f4ef</t>
  </si>
  <si>
    <t>88694313</t>
  </si>
  <si>
    <t>3604.00</t>
  </si>
  <si>
    <t>3099.44</t>
  </si>
  <si>
    <t>c87a7463-19c1-4a0d-8feb-d845d0dfae43</t>
  </si>
  <si>
    <t>796f9881-572a-4b53-ab6b-7b4229502326</t>
  </si>
  <si>
    <t>2023-02-23</t>
  </si>
  <si>
    <t>60875037</t>
  </si>
  <si>
    <t>6017.00</t>
  </si>
  <si>
    <t>16426.41</t>
  </si>
  <si>
    <t>38018b47-b29a-4b06-9af6-6c5f2577bffa</t>
  </si>
  <si>
    <t>eb1d1061-9717-4a6e-a8b4-d5b9693d993c</t>
  </si>
  <si>
    <t>2023-02-08</t>
  </si>
  <si>
    <t>94678413</t>
  </si>
  <si>
    <t>2607.00</t>
  </si>
  <si>
    <t>4327.62</t>
  </si>
  <si>
    <t>a25b59fd-92e8-4269-912e-cbc40b9475b1</t>
  </si>
  <si>
    <t>c30759a4-48a1-43ab-9d55-daaffefc5b4a</t>
  </si>
  <si>
    <t>1566635</t>
  </si>
  <si>
    <t>2340.00</t>
  </si>
  <si>
    <t>8517.6</t>
  </si>
  <si>
    <t>9a27d858-88c1-42ad-afbf-c19ee8f6cf32</t>
  </si>
  <si>
    <t>5e47c2a0-eef6-4139-9ccd-d34080e97f74</t>
  </si>
  <si>
    <t>2023-10-01</t>
  </si>
  <si>
    <t>47680647</t>
  </si>
  <si>
    <t>7687.8</t>
  </si>
  <si>
    <t>1fdb8b32-06d5-49e8-92f1-75ffae3b16ec</t>
  </si>
  <si>
    <t>5b8d11ba-a0ec-4e5a-a487-8d19586d7f41</t>
  </si>
  <si>
    <t>72666999</t>
  </si>
  <si>
    <t>9395.00</t>
  </si>
  <si>
    <t>15971.5</t>
  </si>
  <si>
    <t>d480865f-9b38-4e80-b042-e325a28f5ab0</t>
  </si>
  <si>
    <t>84caa7c8-a159-4b4f-b901-726fc421325a</t>
  </si>
  <si>
    <t>2023-04-16</t>
  </si>
  <si>
    <t>47854697</t>
  </si>
  <si>
    <t>9883.00</t>
  </si>
  <si>
    <t>28166.55</t>
  </si>
  <si>
    <t>176ea1b1-6426-4cd5-9ea4-5cd69371a71f</t>
  </si>
  <si>
    <t>e08c28eb-3218-4fbf-8dcc-bbedc0e0d55b</t>
  </si>
  <si>
    <t>2023-02-12</t>
  </si>
  <si>
    <t>25067743</t>
  </si>
  <si>
    <t>8924.00</t>
  </si>
  <si>
    <t>16063.2</t>
  </si>
  <si>
    <t>1db53334-fb03-43a1-9576-d4155ec17dbe</t>
  </si>
  <si>
    <t>b934718f-2d49-4ca2-81f4-317df5141524</t>
  </si>
  <si>
    <t>13536091</t>
  </si>
  <si>
    <t>9370.00</t>
  </si>
  <si>
    <t>23893.5</t>
  </si>
  <si>
    <t>31d0b664-0589-4877-9b02-52440950fd13</t>
  </si>
  <si>
    <t>614f1ddc-4bc9-42ce-931d-a6ac956c2129</t>
  </si>
  <si>
    <t>2023-09-15</t>
  </si>
  <si>
    <t>52271120</t>
  </si>
  <si>
    <t>8551.00</t>
  </si>
  <si>
    <t>15049.76</t>
  </si>
  <si>
    <t>b7d6467b-2f5a-422a-b87f-43fdf6062541</t>
  </si>
  <si>
    <t>8d2ad974-4a86-4655-8a9d-499ca2698c2d</t>
  </si>
  <si>
    <t>2023-11-18</t>
  </si>
  <si>
    <t>90320866</t>
  </si>
  <si>
    <t>9022.00</t>
  </si>
  <si>
    <t>31035.68</t>
  </si>
  <si>
    <t>ba26d851-35e8-479a-baaf-0e891fb797fa</t>
  </si>
  <si>
    <t>69199a8a-aea6-4315-88ef-444a6e63ffa4</t>
  </si>
  <si>
    <t>2023-02-27</t>
  </si>
  <si>
    <t>62467483</t>
  </si>
  <si>
    <t>7159.00</t>
  </si>
  <si>
    <t>13172.56</t>
  </si>
  <si>
    <t>ade9b2b4-efdd-45f8-8fa3-4266ccfdba9b</t>
  </si>
  <si>
    <t>354af1bd-ba56-42f7-a00a-a45e44e1b08c</t>
  </si>
  <si>
    <t>2023-10-19</t>
  </si>
  <si>
    <t>2721170</t>
  </si>
  <si>
    <t>8148.00</t>
  </si>
  <si>
    <t>29658.72</t>
  </si>
  <si>
    <t>9edfa3da-6cf5-4b15-8b53-031d05d51433</t>
  </si>
  <si>
    <t>1c3c8d35-21d4-4b7e-a258-7c8958ccf9b4</t>
  </si>
  <si>
    <t>2023-12-25</t>
  </si>
  <si>
    <t>44460945</t>
  </si>
  <si>
    <t>7926.00</t>
  </si>
  <si>
    <t>19735.74</t>
  </si>
  <si>
    <t>11ebcd49-428a-4c22-95fd-b76a19fbeb1d</t>
  </si>
  <si>
    <t>07fe6a4e-2a6f-4e47-9b61-f92b9cf600ec</t>
  </si>
  <si>
    <t>2023-04-30</t>
  </si>
  <si>
    <t>57104379</t>
  </si>
  <si>
    <t>1104.00</t>
  </si>
  <si>
    <t>971.52</t>
  </si>
  <si>
    <t>4d125e7f-a59c-4c98-926c-bc8f38884479</t>
  </si>
  <si>
    <t>76a933cf-65fd-4f69-93a2-5c9b6e3a52d7</t>
  </si>
  <si>
    <t>2023-09-25</t>
  </si>
  <si>
    <t>48361606</t>
  </si>
  <si>
    <t>3872.00</t>
  </si>
  <si>
    <t>3407.36</t>
  </si>
  <si>
    <t>0fa07a3f-2e29-4065-afa2-31e959acdd98</t>
  </si>
  <si>
    <t>b5004950-b5f5-4316-a453-35cc137fcd2b</t>
  </si>
  <si>
    <t>2023-03-24</t>
  </si>
  <si>
    <t>1504408</t>
  </si>
  <si>
    <t>4909.00</t>
  </si>
  <si>
    <t>18457.84</t>
  </si>
  <si>
    <t>98b33c6e-0a14-490a-b795-e98680ee526e</t>
  </si>
  <si>
    <t>6ce8d7dc-c71d-42d6-93ec-5718ae4a741a</t>
  </si>
  <si>
    <t>2023-04-02</t>
  </si>
  <si>
    <t>902922</t>
  </si>
  <si>
    <t>3706.00</t>
  </si>
  <si>
    <t>6819.04</t>
  </si>
  <si>
    <t>642aad48-fcfc-4a81-b306-d70019d5f970</t>
  </si>
  <si>
    <t>2367ad9e-8dcd-4d64-b9e8-e4ee8b7f6d7a</t>
  </si>
  <si>
    <t>71920825</t>
  </si>
  <si>
    <t>8398.00</t>
  </si>
  <si>
    <t>14612.52</t>
  </si>
  <si>
    <t>e786ab37-5bca-47be-8298-17c53308fb2e</t>
  </si>
  <si>
    <t>2a1ace85-351c-4aac-a728-ec952b52dab1</t>
  </si>
  <si>
    <t>11191315</t>
  </si>
  <si>
    <t>9420.00</t>
  </si>
  <si>
    <t>17709.6</t>
  </si>
  <si>
    <t>e6fd68e8-d69c-41c2-b860-1602bb4a06cb</t>
  </si>
  <si>
    <t>22b3ce34-867a-4ac9-879b-e4e53a6e8f12</t>
  </si>
  <si>
    <t>2023-05-02</t>
  </si>
  <si>
    <t>76117787</t>
  </si>
  <si>
    <t>6912.00</t>
  </si>
  <si>
    <t>20%</t>
  </si>
  <si>
    <t>5529.6</t>
  </si>
  <si>
    <t>b29c467d-2b5f-4932-91dc-59efeb21a3f6</t>
  </si>
  <si>
    <t>e65d1c73-5b62-47c9-be38-01afd1a8d7b0</t>
  </si>
  <si>
    <t>2023-03-26</t>
  </si>
  <si>
    <t>28125686</t>
  </si>
  <si>
    <t>2289.00</t>
  </si>
  <si>
    <t>6111.63</t>
  </si>
  <si>
    <t>c470f0e7-f76f-4fb8-b412-fc12ac322c12</t>
  </si>
  <si>
    <t>49bcf4a8-bc62-44a8-9f93-e802e1c25cd1</t>
  </si>
  <si>
    <t>2023-07-23</t>
  </si>
  <si>
    <t>21808319</t>
  </si>
  <si>
    <t>5202.00</t>
  </si>
  <si>
    <t>12796.92</t>
  </si>
  <si>
    <t>28805c5d-ad1b-4f60-89e4-dab20edc6d2b</t>
  </si>
  <si>
    <t>af273f40-55cd-472e-8b10-cf68b7691470</t>
  </si>
  <si>
    <t>2023-11-21</t>
  </si>
  <si>
    <t>65858981</t>
  </si>
  <si>
    <t>4302.00</t>
  </si>
  <si>
    <t>10711.98</t>
  </si>
  <si>
    <t>878b9f6b-57a1-4b71-a975-d279d86dbf11</t>
  </si>
  <si>
    <t>ea045534-f679-4fd3-8d74-afec1e548a7c</t>
  </si>
  <si>
    <t>2023-09-20</t>
  </si>
  <si>
    <t>64391298</t>
  </si>
  <si>
    <t>1745.00</t>
  </si>
  <si>
    <t>1448.35</t>
  </si>
  <si>
    <t>ebe21368-98c7-4205-9e01-a934402d0baf</t>
  </si>
  <si>
    <t>c5fee487-68ab-4281-968d-2bc2dac7c336</t>
  </si>
  <si>
    <t>65458501</t>
  </si>
  <si>
    <t>8507.00</t>
  </si>
  <si>
    <t>22713.69</t>
  </si>
  <si>
    <t>0361524c-2cc0-4859-aa65-24ab713b7e05</t>
  </si>
  <si>
    <t>2887a3a9-e633-47c3-8303-42c7dcfbde0a</t>
  </si>
  <si>
    <t>243223</t>
  </si>
  <si>
    <t>2505.00</t>
  </si>
  <si>
    <t>19%</t>
  </si>
  <si>
    <t>8116.2</t>
  </si>
  <si>
    <t>e66cd36e-68ef-4f5f-ae68-690a78bc7175</t>
  </si>
  <si>
    <t>f7f1bb27-8066-4563-a0c3-0ce957ac59f2</t>
  </si>
  <si>
    <t>2023-05-12</t>
  </si>
  <si>
    <t>17724425</t>
  </si>
  <si>
    <t>4592.00</t>
  </si>
  <si>
    <t>15429.12</t>
  </si>
  <si>
    <t>eae2025e-8233-4e23-9ff3-334b91b15f5d</t>
  </si>
  <si>
    <t>25033a3e-b1f5-47d0-887b-4cca54f02dc4</t>
  </si>
  <si>
    <t>2023-12-23</t>
  </si>
  <si>
    <t>2553184</t>
  </si>
  <si>
    <t>7804.00</t>
  </si>
  <si>
    <t>6477.32</t>
  </si>
  <si>
    <t>637e0edc-5b6e-4ae7-a620-81434fbaecc0</t>
  </si>
  <si>
    <t>bd637b3a-fc0b-4519-a04a-a4a2e983cc1d</t>
  </si>
  <si>
    <t>2023-06-30</t>
  </si>
  <si>
    <t>72453193</t>
  </si>
  <si>
    <t>3640.00</t>
  </si>
  <si>
    <t>6916</t>
  </si>
  <si>
    <t>27460f22-403d-4f83-a859-890cd670f668</t>
  </si>
  <si>
    <t>3c0a94de-4e24-4cf7-8e33-dcabbe684e2b</t>
  </si>
  <si>
    <t>2023-12-01</t>
  </si>
  <si>
    <t>35614685</t>
  </si>
  <si>
    <t>6620.00</t>
  </si>
  <si>
    <t>18867</t>
  </si>
  <si>
    <t>753c7c99-032f-46ca-b0d9-c2aa8f837ef7</t>
  </si>
  <si>
    <t>60e9bd79-fe1c-41e5-aa31-e67ae1680205</t>
  </si>
  <si>
    <t>2023-05-24</t>
  </si>
  <si>
    <t>50536061</t>
  </si>
  <si>
    <t>2347.00</t>
  </si>
  <si>
    <t>6125.67</t>
  </si>
  <si>
    <t>bd30291a-55fe-408e-943e-2e04bdd7d19b</t>
  </si>
  <si>
    <t>78a55d6b-f2de-400f-a3e8-695158b5f052</t>
  </si>
  <si>
    <t>2023-05-29</t>
  </si>
  <si>
    <t>84240415</t>
  </si>
  <si>
    <t>5933.00</t>
  </si>
  <si>
    <t>21121.48</t>
  </si>
  <si>
    <t>2284b7a4-47e7-4593-8b58-85ca0bb2c3f0</t>
  </si>
  <si>
    <t>68fc642a-f6f2-4926-8e60-678b82f4b48a</t>
  </si>
  <si>
    <t>2023-08-16</t>
  </si>
  <si>
    <t>56043242</t>
  </si>
  <si>
    <t>4551.00</t>
  </si>
  <si>
    <t>3822.84</t>
  </si>
  <si>
    <t>7b59051b-f400-48d7-831d-5a973d792fa1</t>
  </si>
  <si>
    <t>1903b45f-d01c-4935-a803-2f7efef06b04</t>
  </si>
  <si>
    <t>2023-10-07</t>
  </si>
  <si>
    <t>58127391</t>
  </si>
  <si>
    <t>296.00</t>
  </si>
  <si>
    <t>509.12</t>
  </si>
  <si>
    <t>ac642b4c-49b2-4ded-9c31-d9b25a2b745b</t>
  </si>
  <si>
    <t>25cc2478-276d-4e19-b924-e06aaef5baef</t>
  </si>
  <si>
    <t>2023-07-27</t>
  </si>
  <si>
    <t>99164041</t>
  </si>
  <si>
    <t>7465.00</t>
  </si>
  <si>
    <t>18811.8</t>
  </si>
  <si>
    <t>e456697c-f268-4baa-971c-702d5bf49c04</t>
  </si>
  <si>
    <t>a25130a8-9870-4707-955f-bc3301424249</t>
  </si>
  <si>
    <t>2023-12-08</t>
  </si>
  <si>
    <t>925266</t>
  </si>
  <si>
    <t>4268.00</t>
  </si>
  <si>
    <t>3713.16</t>
  </si>
  <si>
    <t>21e15094-9efe-4464-9a90-f534a23d4c9d</t>
  </si>
  <si>
    <t>e1a9344e-ef7f-4bc8-bb24-cba4b4577bf7</t>
  </si>
  <si>
    <t>2023-02-18</t>
  </si>
  <si>
    <t>39830838</t>
  </si>
  <si>
    <t>1725.00</t>
  </si>
  <si>
    <t>1604.25</t>
  </si>
  <si>
    <t>bf9cc545-6355-48f7-8f6f-a985b732d46f</t>
  </si>
  <si>
    <t>c77f0b62-b264-49f7-9b58-286c8461f840</t>
  </si>
  <si>
    <t>2023-11-02</t>
  </si>
  <si>
    <t>78799554</t>
  </si>
  <si>
    <t>2716.00</t>
  </si>
  <si>
    <t>7251.72</t>
  </si>
  <si>
    <t>14aa451c-a69c-4b85-9432-f8db6a174c1c</t>
  </si>
  <si>
    <t>98856c7f-3475-4526-b2b4-c281a5b91ee8</t>
  </si>
  <si>
    <t>2023-03-11</t>
  </si>
  <si>
    <t>51065270</t>
  </si>
  <si>
    <t>4343.00</t>
  </si>
  <si>
    <t>7730.54</t>
  </si>
  <si>
    <t>b2d650af-313b-42b7-9836-31890063e42f</t>
  </si>
  <si>
    <t>83719849-fb52-44d9-9a66-d48da4f0d9c2</t>
  </si>
  <si>
    <t>2023-06-19</t>
  </si>
  <si>
    <t>36903979</t>
  </si>
  <si>
    <t>6463.00</t>
  </si>
  <si>
    <t>16868.43</t>
  </si>
  <si>
    <t>391cf046-3d4a-4d51-a8fa-fd04559b5975</t>
  </si>
  <si>
    <t>bb5f15c1-b044-4ebb-8445-17ef1c769e1f</t>
  </si>
  <si>
    <t>66226673</t>
  </si>
  <si>
    <t>1303.00</t>
  </si>
  <si>
    <t>1185.73</t>
  </si>
  <si>
    <t>b5d97ef7-60ef-4471-b2b8-ff39a32c9b6f</t>
  </si>
  <si>
    <t>15db4487-6038-43f3-ab2b-cfda9d4319b5</t>
  </si>
  <si>
    <t>2023-04-06</t>
  </si>
  <si>
    <t>34129043</t>
  </si>
  <si>
    <t>7695.00</t>
  </si>
  <si>
    <t>28317.6</t>
  </si>
  <si>
    <t>dfe1b307-9172-4f0a-ac7c-8803e01bbf50</t>
  </si>
  <si>
    <t>1d8ac1a9-02af-4382-8938-ad77cb18d6a4</t>
  </si>
  <si>
    <t>21242649</t>
  </si>
  <si>
    <t>8641.00</t>
  </si>
  <si>
    <t>32835.8</t>
  </si>
  <si>
    <t>df26f517-66fa-4989-8813-5d586a1689ad</t>
  </si>
  <si>
    <t>b8f35c26-d13e-439c-9cb6-f1f0e4751694</t>
  </si>
  <si>
    <t>2023-04-05</t>
  </si>
  <si>
    <t>86586771</t>
  </si>
  <si>
    <t>8587.00</t>
  </si>
  <si>
    <t>7728.3</t>
  </si>
  <si>
    <t>c5adf681-6b10-453a-9145-de05b3ab1b2c</t>
  </si>
  <si>
    <t>ad0cabfc-1baf-41f1-917f-a07e7b0f78c1</t>
  </si>
  <si>
    <t>2023-09-14</t>
  </si>
  <si>
    <t>14954443</t>
  </si>
  <si>
    <t>4538.00</t>
  </si>
  <si>
    <t>4129.58</t>
  </si>
  <si>
    <t>2a69acc7-0bf9-40ef-b581-6b74a985ab61</t>
  </si>
  <si>
    <t>b259a6a0-9591-4900-9e7c-faad73df770a</t>
  </si>
  <si>
    <t>2023-06-28</t>
  </si>
  <si>
    <t>69807886</t>
  </si>
  <si>
    <t>6450.00</t>
  </si>
  <si>
    <t>10320</t>
  </si>
  <si>
    <t>b3969057-425c-4200-905a-da6b720299e3</t>
  </si>
  <si>
    <t>cfe4fb66-7c8d-4368-aaa2-843940fe81ec</t>
  </si>
  <si>
    <t>36460069</t>
  </si>
  <si>
    <t>6838.00</t>
  </si>
  <si>
    <t>5470.4</t>
  </si>
  <si>
    <t>e28bc9ff-870f-484c-b244-f536285e25b4</t>
  </si>
  <si>
    <t>28b74f3d-ec38-46bc-ba8d-1c00c6962905</t>
  </si>
  <si>
    <t>2023-11-01</t>
  </si>
  <si>
    <t>81400768</t>
  </si>
  <si>
    <t>9271.00</t>
  </si>
  <si>
    <t>17244.06</t>
  </si>
  <si>
    <t>9a9e4310-8fb8-4bab-a875-4cd37cbd7025</t>
  </si>
  <si>
    <t>e5098f9a-d3c6-4e05-8d37-aebb8fc7f7e3</t>
  </si>
  <si>
    <t>2023-12-16</t>
  </si>
  <si>
    <t>85878785</t>
  </si>
  <si>
    <t>8333.00</t>
  </si>
  <si>
    <t>7583.03</t>
  </si>
  <si>
    <t>09f6048f-e245-4460-8004-884cc167733f</t>
  </si>
  <si>
    <t>820bc51d-db3a-4fa6-87d0-286213f36e53</t>
  </si>
  <si>
    <t>2023-04-09</t>
  </si>
  <si>
    <t>79290951</t>
  </si>
  <si>
    <t>376.00</t>
  </si>
  <si>
    <t>706.88</t>
  </si>
  <si>
    <t>d675ebf7-4fe3-4c9a-9371-0f577e9cf84f</t>
  </si>
  <si>
    <t>06999e1e-2b02-437e-a2cd-159aebba80d2</t>
  </si>
  <si>
    <t>34613122</t>
  </si>
  <si>
    <t>2921.00</t>
  </si>
  <si>
    <t>7098.03</t>
  </si>
  <si>
    <t>d29dc5df-cf1d-4110-8cc3-6d8c77863fe5</t>
  </si>
  <si>
    <t>2ab465e9-d97d-4b38-a4a9-8266d3d6362b</t>
  </si>
  <si>
    <t>2023-07-21</t>
  </si>
  <si>
    <t>97275725</t>
  </si>
  <si>
    <t>3250.00</t>
  </si>
  <si>
    <t>11180</t>
  </si>
  <si>
    <t>6a46721a-cffa-4cdd-b963-a7efe00111e5</t>
  </si>
  <si>
    <t>68adc28f-8463-416a-be65-6befe0efc989</t>
  </si>
  <si>
    <t>2023-01-01</t>
  </si>
  <si>
    <t>74758302</t>
  </si>
  <si>
    <t>5768.00</t>
  </si>
  <si>
    <t>10613.12</t>
  </si>
  <si>
    <t>f689a4a5-ffda-4336-8c6e-90373020da5c</t>
  </si>
  <si>
    <t>702cebbe-3544-4189-a920-46339bb68cd2</t>
  </si>
  <si>
    <t>2023-02-13</t>
  </si>
  <si>
    <t>58468913</t>
  </si>
  <si>
    <t>6009.00</t>
  </si>
  <si>
    <t>19949.88</t>
  </si>
  <si>
    <t>d663049d-155e-48b1-ba83-ada4a2121ac5</t>
  </si>
  <si>
    <t>439ddd74-67af-46d9-af04-ef81b5481bf2</t>
  </si>
  <si>
    <t>2023-01-24</t>
  </si>
  <si>
    <t>42822158</t>
  </si>
  <si>
    <t>4417.00</t>
  </si>
  <si>
    <t>10998.33</t>
  </si>
  <si>
    <t>03c54c71-fca0-4536-a169-df82b9bdee2d</t>
  </si>
  <si>
    <t>eb6ec9e0-225f-4457-9662-5aa1056b565f</t>
  </si>
  <si>
    <t>2023-07-07</t>
  </si>
  <si>
    <t>30077195</t>
  </si>
  <si>
    <t>597.00</t>
  </si>
  <si>
    <t>1134.3</t>
  </si>
  <si>
    <t>6ae04d52-adb3-48cb-b315-8c0c66dd7794</t>
  </si>
  <si>
    <t>70e2ee61-e29b-44d7-abdc-9c10636241c3</t>
  </si>
  <si>
    <t>2023-05-11</t>
  </si>
  <si>
    <t>80279297</t>
  </si>
  <si>
    <t>9068.00</t>
  </si>
  <si>
    <t>23939.52</t>
  </si>
  <si>
    <t>03a89879-36a9-4d74-80de-59f550f0fc2b</t>
  </si>
  <si>
    <t>60032713-ea8f-423d-8dbc-321b90a00ee1</t>
  </si>
  <si>
    <t>41452752</t>
  </si>
  <si>
    <t>5752.00</t>
  </si>
  <si>
    <t>10928.8</t>
  </si>
  <si>
    <t>faf1501b-009a-415b-8137-8be5b7a28e0a</t>
  </si>
  <si>
    <t>a4e0ee5b-1638-425c-8d66-65d8edf2a720</t>
  </si>
  <si>
    <t>2023-03-04</t>
  </si>
  <si>
    <t>5119141</t>
  </si>
  <si>
    <t>5107.00</t>
  </si>
  <si>
    <t>17159.52</t>
  </si>
  <si>
    <t>9cb017c1-8741-4e91-acfe-bb4bd29e8693</t>
  </si>
  <si>
    <t>3bac2660-55a3-4129-a7ba-6b1a96954911</t>
  </si>
  <si>
    <t>2023-08-11</t>
  </si>
  <si>
    <t>49520767</t>
  </si>
  <si>
    <t>6314.00</t>
  </si>
  <si>
    <t>16290.12</t>
  </si>
  <si>
    <t>9bbd750d-1e70-4c52-b0c1-fb6a19086515</t>
  </si>
  <si>
    <t>0a02da60-749d-4601-9f98-377981bd5336</t>
  </si>
  <si>
    <t>2023-05-04</t>
  </si>
  <si>
    <t>63164763</t>
  </si>
  <si>
    <t>3432.00</t>
  </si>
  <si>
    <t>2848.56</t>
  </si>
  <si>
    <t>4d6b234f-dfa7-46ed-b2d1-f81ba636425c</t>
  </si>
  <si>
    <t>44c8fd00-1a0f-4218-9eb8-83257add8fed</t>
  </si>
  <si>
    <t>76263637</t>
  </si>
  <si>
    <t>8826.00</t>
  </si>
  <si>
    <t>25154.1</t>
  </si>
  <si>
    <t>2ea60b99-fa7f-48bf-b044-284a47acf2f6</t>
  </si>
  <si>
    <t>8d00b7b2-7d82-4ccf-81eb-88e5d549faad</t>
  </si>
  <si>
    <t>41275542</t>
  </si>
  <si>
    <t>5317.00</t>
  </si>
  <si>
    <t>8719.88</t>
  </si>
  <si>
    <t>ec3aa314-da9b-4017-b9c1-47c719a5711b</t>
  </si>
  <si>
    <t>43eb280e-7901-4990-a4e3-22cfa51de78b</t>
  </si>
  <si>
    <t>75327255</t>
  </si>
  <si>
    <t>2308.00</t>
  </si>
  <si>
    <t>7385.6</t>
  </si>
  <si>
    <t>0597aab6-14d3-4dbc-a0ac-f4c9658de17e</t>
  </si>
  <si>
    <t>5d443821-8a7f-43ae-bad2-3fbf2e573864</t>
  </si>
  <si>
    <t>2023-07-29</t>
  </si>
  <si>
    <t>37218997</t>
  </si>
  <si>
    <t>1505.00</t>
  </si>
  <si>
    <t>1219.05</t>
  </si>
  <si>
    <t>ccc14d51-73f6-40d8-a9f4-1cc04653a560</t>
  </si>
  <si>
    <t>9bde299d-da28-4b7a-8d6d-99a628d798b4</t>
  </si>
  <si>
    <t>2023-02-20</t>
  </si>
  <si>
    <t>75215248</t>
  </si>
  <si>
    <t>8233.00</t>
  </si>
  <si>
    <t>7245.04</t>
  </si>
  <si>
    <t>41a93f90-dc82-4527-9da3-b7e2cad6e514</t>
  </si>
  <si>
    <t>74f8c57b-24c5-42ca-aab3-c4d8d4e4004b</t>
  </si>
  <si>
    <t>2023-09-28</t>
  </si>
  <si>
    <t>51165543</t>
  </si>
  <si>
    <t>824.00</t>
  </si>
  <si>
    <t>2200.08</t>
  </si>
  <si>
    <t>d138d150-8557-416a-a750-2a812227d96d</t>
  </si>
  <si>
    <t>7a658abe-1188-4fa1-b660-ffd5119fc1c4</t>
  </si>
  <si>
    <t>2023-02-11</t>
  </si>
  <si>
    <t>50342280</t>
  </si>
  <si>
    <t>9873.00</t>
  </si>
  <si>
    <t>23695.2</t>
  </si>
  <si>
    <t>1d77ce40-58d8-4776-a51a-d4f3a699bae0</t>
  </si>
  <si>
    <t>68f49b51-f3fa-4613-90ed-41f464aba3f6</t>
  </si>
  <si>
    <t>2023-02-28</t>
  </si>
  <si>
    <t>27318416</t>
  </si>
  <si>
    <t>8064.00</t>
  </si>
  <si>
    <t>7499.52</t>
  </si>
  <si>
    <t>d9ead926-4745-4d9e-a789-6389df3277fd</t>
  </si>
  <si>
    <t>7b777bf2-43f9-4cbd-979d-221d8e5f37fa</t>
  </si>
  <si>
    <t>6167721</t>
  </si>
  <si>
    <t>3754.00</t>
  </si>
  <si>
    <t>9234.84</t>
  </si>
  <si>
    <t>34ab18fd-0a68-488e-8ad4-041504c14982</t>
  </si>
  <si>
    <t>4bf41e10-1c62-4f82-9081-3d923aca43f2</t>
  </si>
  <si>
    <t>2023-02-06</t>
  </si>
  <si>
    <t>20121693</t>
  </si>
  <si>
    <t>3674.00</t>
  </si>
  <si>
    <t>12344.64</t>
  </si>
  <si>
    <t>50910bdc-8ef0-46d4-8279-b14dae55cdff</t>
  </si>
  <si>
    <t>181a218e-cfd6-4560-9c05-c1f3241d3e27</t>
  </si>
  <si>
    <t>2023-09-24</t>
  </si>
  <si>
    <t>14199134</t>
  </si>
  <si>
    <t>9128.00</t>
  </si>
  <si>
    <t>7667.52</t>
  </si>
  <si>
    <t>914591ae-f03d-466a-9dec-c06af24dfdd8</t>
  </si>
  <si>
    <t>0e8472a7-dd33-4379-a88f-58c1237d7b90</t>
  </si>
  <si>
    <t>2023-03-28</t>
  </si>
  <si>
    <t>46287458</t>
  </si>
  <si>
    <t>5959.00</t>
  </si>
  <si>
    <t>4945.97</t>
  </si>
  <si>
    <t>d8ab0b30-0ac0-4f0d-9974-c146e8ec01b3</t>
  </si>
  <si>
    <t>96248805-2305-46d3-aa61-353ad2b00078</t>
  </si>
  <si>
    <t>26422138</t>
  </si>
  <si>
    <t>6350.00</t>
  </si>
  <si>
    <t>17907</t>
  </si>
  <si>
    <t>9b8b71a1-b38a-45fb-b611-64cebfc74ca9</t>
  </si>
  <si>
    <t>0876daaa-01ce-4fc6-b2d1-16fe8f08963c</t>
  </si>
  <si>
    <t>2023-12-27</t>
  </si>
  <si>
    <t>85715868</t>
  </si>
  <si>
    <t>9448.00</t>
  </si>
  <si>
    <t>26076.48</t>
  </si>
  <si>
    <t>a4e695c9-b65d-4226-be96-9cf3a7c5cb87</t>
  </si>
  <si>
    <t>b325442c-8eeb-4fd8-a783-b0c3dcae667e</t>
  </si>
  <si>
    <t>2023-01-12</t>
  </si>
  <si>
    <t>47025271</t>
  </si>
  <si>
    <t>7310.00</t>
  </si>
  <si>
    <t>13158</t>
  </si>
  <si>
    <t>6f790959-a3e0-4b3b-b56b-0715e7180322</t>
  </si>
  <si>
    <t>b6d066f2-7d87-4566-9a0a-80bec15dfcfc</t>
  </si>
  <si>
    <t>2023-09-16</t>
  </si>
  <si>
    <t>33127613</t>
  </si>
  <si>
    <t>1001.00</t>
  </si>
  <si>
    <t>2582.58</t>
  </si>
  <si>
    <t>2da44da1-89b5-4368-9f14-c6125f58d5b5</t>
  </si>
  <si>
    <t>79140a61-ee65-4feb-9b67-4518b0bf7f14</t>
  </si>
  <si>
    <t>2023-11-04</t>
  </si>
  <si>
    <t>53152336</t>
  </si>
  <si>
    <t>3388.00</t>
  </si>
  <si>
    <t>3150.84</t>
  </si>
  <si>
    <t>4a814d53-964d-4b77-a025-f0ae35354579</t>
  </si>
  <si>
    <t>c7afae8f-dfec-42ae-98e7-60bf8f3e64f4</t>
  </si>
  <si>
    <t>2023-03-22</t>
  </si>
  <si>
    <t>98575978</t>
  </si>
  <si>
    <t>7762.00</t>
  </si>
  <si>
    <t>6752.94</t>
  </si>
  <si>
    <t>4578bab3-26a9-4465-a371-ea2c0247145f</t>
  </si>
  <si>
    <t>af8c96a9-18f7-4499-9f61-c53457d1d37c</t>
  </si>
  <si>
    <t>84409928</t>
  </si>
  <si>
    <t>4961.00</t>
  </si>
  <si>
    <t>8235.26</t>
  </si>
  <si>
    <t>5e00ea6d-ca24-4e4d-9667-2017555a4085</t>
  </si>
  <si>
    <t>7f6bf51b-3a05-40b7-bddf-55b2015128db</t>
  </si>
  <si>
    <t>2023-07-02</t>
  </si>
  <si>
    <t>43881475</t>
  </si>
  <si>
    <t>1662.00</t>
  </si>
  <si>
    <t>2758.92</t>
  </si>
  <si>
    <t>c787ddfb-5697-417c-97fd-3736b7ef941c</t>
  </si>
  <si>
    <t>4642cddb-4fbe-4aae-bbf7-0946d6ada066</t>
  </si>
  <si>
    <t>21078880</t>
  </si>
  <si>
    <t>9822.00</t>
  </si>
  <si>
    <t>8446.92</t>
  </si>
  <si>
    <t>4505f4f6-0a8c-46c7-8921-5f4f9edb95f2</t>
  </si>
  <si>
    <t>5ad8712d-7ee1-42a3-824b-fe48398071b1</t>
  </si>
  <si>
    <t>2023-10-22</t>
  </si>
  <si>
    <t>99866594</t>
  </si>
  <si>
    <t>4399.00</t>
  </si>
  <si>
    <t>7918.2</t>
  </si>
  <si>
    <t>955d0e77-fb5e-4866-a640-211e29f2c3c7</t>
  </si>
  <si>
    <t>ed3032ed-824c-4948-b474-b1a4f2684ee1</t>
  </si>
  <si>
    <t>2023-10-03</t>
  </si>
  <si>
    <t>53572806</t>
  </si>
  <si>
    <t>1690.00</t>
  </si>
  <si>
    <t>1385.8</t>
  </si>
  <si>
    <t>fd42f697-6511-4656-9c64-60364a1eb1b7</t>
  </si>
  <si>
    <t>4e051eea-13d7-4846-9777-6c3a57435d9c</t>
  </si>
  <si>
    <t>72018026</t>
  </si>
  <si>
    <t>3217.00</t>
  </si>
  <si>
    <t>7720.8</t>
  </si>
  <si>
    <t>1d69d9fc-4b1c-48bd-a130-260c8c69778f</t>
  </si>
  <si>
    <t>bd2cdb8d-39eb-4a32-ac1b-681192dbd613</t>
  </si>
  <si>
    <t>10543108</t>
  </si>
  <si>
    <t>5240.00</t>
  </si>
  <si>
    <t>4716</t>
  </si>
  <si>
    <t>ef0a81ed-3d5d-40bc-bb03-78eb7a62722e</t>
  </si>
  <si>
    <t>dc58ea6a-6193-4b51-b6ac-a9b45e146c30</t>
  </si>
  <si>
    <t>2023-07-04</t>
  </si>
  <si>
    <t>32568950</t>
  </si>
  <si>
    <t>8890.00</t>
  </si>
  <si>
    <t>15290.8</t>
  </si>
  <si>
    <t>db66bfda-2df9-4747-8ed1-35530c5a876f</t>
  </si>
  <si>
    <t>49b3fe66-3b4c-4730-a53d-f737c2185e77</t>
  </si>
  <si>
    <t>2023-03-19</t>
  </si>
  <si>
    <t>63609394</t>
  </si>
  <si>
    <t>1246.00</t>
  </si>
  <si>
    <t>3551.1</t>
  </si>
  <si>
    <t>4d7bd307-1224-41e6-ba89-82dd85e69ea9</t>
  </si>
  <si>
    <t>c6b7e7cb-be0d-44ed-b306-1611ef96a214</t>
  </si>
  <si>
    <t>2023-10-14</t>
  </si>
  <si>
    <t>7062315</t>
  </si>
  <si>
    <t>3215.00</t>
  </si>
  <si>
    <t>3054.25</t>
  </si>
  <si>
    <t>4c9a0ae1-5419-4efc-95e7-3e3f673617d9</t>
  </si>
  <si>
    <t>c814ed3c-e166-46ab-a8f6-14bd7b2aa677</t>
  </si>
  <si>
    <t>2023-10-08</t>
  </si>
  <si>
    <t>92544758</t>
  </si>
  <si>
    <t>4097.00</t>
  </si>
  <si>
    <t>3564.39</t>
  </si>
  <si>
    <t>8f928dc5-1972-4ce3-9bd0-94486a2b3200</t>
  </si>
  <si>
    <t>9cc753ad-6264-490f-886c-0adf5bf26ec8</t>
  </si>
  <si>
    <t>2023-05-06</t>
  </si>
  <si>
    <t>86754842</t>
  </si>
  <si>
    <t>1150.00</t>
  </si>
  <si>
    <t>1932</t>
  </si>
  <si>
    <t>564ae909-7958-4e69-bb2e-1b82e89dc815</t>
  </si>
  <si>
    <t>1e94eb4b-c74f-43ca-94c6-67bb211e55c3</t>
  </si>
  <si>
    <t>78565647</t>
  </si>
  <si>
    <t>8624.00</t>
  </si>
  <si>
    <t>14315.84</t>
  </si>
  <si>
    <t>cff4c56b-f9ea-4c64-8c41-7e7cd741d609</t>
  </si>
  <si>
    <t>de5fe0ee-8010-4500-9ae5-253066b48fc6</t>
  </si>
  <si>
    <t>2023-01-04</t>
  </si>
  <si>
    <t>3746622</t>
  </si>
  <si>
    <t>3020.00</t>
  </si>
  <si>
    <t>11355.2</t>
  </si>
  <si>
    <t>1db2b452-7aa5-4a18-9fd3-c01757f98d1e</t>
  </si>
  <si>
    <t>b594b706-a7fb-481e-ba88-a4ab78916712</t>
  </si>
  <si>
    <t>27329313</t>
  </si>
  <si>
    <t>9074.00</t>
  </si>
  <si>
    <t>8075.86</t>
  </si>
  <si>
    <t>09aedbd0-6d31-4b4a-bf6b-8793b318ad4c</t>
  </si>
  <si>
    <t>5bd71dc6-ea75-434d-a1d5-34025fba6dc2</t>
  </si>
  <si>
    <t>2023-08-15</t>
  </si>
  <si>
    <t>48829274</t>
  </si>
  <si>
    <t>5144.00</t>
  </si>
  <si>
    <t>12654.24</t>
  </si>
  <si>
    <t>afe6790a-bc18-440b-95c7-ed9d4d4985dc</t>
  </si>
  <si>
    <t>f902d6c0-5bf5-4279-8704-768e6e927501</t>
  </si>
  <si>
    <t>2023-12-30</t>
  </si>
  <si>
    <t>17362108</t>
  </si>
  <si>
    <t>3322.00</t>
  </si>
  <si>
    <t>5780.28</t>
  </si>
  <si>
    <t>2aa36cf7-eb70-4a65-a7d9-9a23e4f7625e</t>
  </si>
  <si>
    <t>b6e0eac2-c42b-44c4-846f-5825669ff1b9</t>
  </si>
  <si>
    <t>2023-09-27</t>
  </si>
  <si>
    <t>80119227</t>
  </si>
  <si>
    <t>6738.00</t>
  </si>
  <si>
    <t>18192.6</t>
  </si>
  <si>
    <t>ce5dc807-6025-4199-9082-3edaa0722aa0</t>
  </si>
  <si>
    <t>1af4321a-ddd3-4779-8879-996dfe38f4eb</t>
  </si>
  <si>
    <t>2023-10-24</t>
  </si>
  <si>
    <t>93551168</t>
  </si>
  <si>
    <t>1139.00</t>
  </si>
  <si>
    <t>3690.36</t>
  </si>
  <si>
    <t>16408169-a38d-4afc-bdd2-ed7af97ccc57</t>
  </si>
  <si>
    <t>1ee1723b-4a96-46a4-a752-41027acf6bcc</t>
  </si>
  <si>
    <t>2023-11-25</t>
  </si>
  <si>
    <t>72598399</t>
  </si>
  <si>
    <t>3896.00</t>
  </si>
  <si>
    <t>7168.64</t>
  </si>
  <si>
    <t>32b2c492-15ac-47a1-8eca-2ee310da8a95</t>
  </si>
  <si>
    <t>eed15368-5811-4722-a77d-fc7b722c353d</t>
  </si>
  <si>
    <t>2023-01-20</t>
  </si>
  <si>
    <t>39979414</t>
  </si>
  <si>
    <t>254.00</t>
  </si>
  <si>
    <t>609.6</t>
  </si>
  <si>
    <t>62830869-0fa7-4e05-b897-4df5bff773ce</t>
  </si>
  <si>
    <t>edfda291-2fdb-4c0d-be4a-565e3e581dd5</t>
  </si>
  <si>
    <t>26132242</t>
  </si>
  <si>
    <t>6715.00</t>
  </si>
  <si>
    <t>5506.3</t>
  </si>
  <si>
    <t>8e751eb7-64d0-4913-991b-8adf0202861c</t>
  </si>
  <si>
    <t>3a8be161-7fd2-470a-968d-6f3ef4b445aa</t>
  </si>
  <si>
    <t>45275814</t>
  </si>
  <si>
    <t>3144.00</t>
  </si>
  <si>
    <t>8771.76</t>
  </si>
  <si>
    <t>eb8f2056-72d3-4c5d-8a31-b24384dd6da6</t>
  </si>
  <si>
    <t>f9adf8c5-6247-440d-ae5c-eb3d1c275035</t>
  </si>
  <si>
    <t>2023-09-06</t>
  </si>
  <si>
    <t>16003569</t>
  </si>
  <si>
    <t>9047.00</t>
  </si>
  <si>
    <t>7870.89</t>
  </si>
  <si>
    <t>b6e355f6-95bb-440d-89cd-4af97d161f29</t>
  </si>
  <si>
    <t>7636efd9-8376-4fa8-b6fe-579f6382f3b5</t>
  </si>
  <si>
    <t>35691518</t>
  </si>
  <si>
    <t>765.00</t>
  </si>
  <si>
    <t>2042.55</t>
  </si>
  <si>
    <t>156af458-6c4c-4935-b79d-eda1ade6c5e9</t>
  </si>
  <si>
    <t>ffb59512-fa04-4706-af8d-ff9bfae3fcee</t>
  </si>
  <si>
    <t>79743600</t>
  </si>
  <si>
    <t>1923.00</t>
  </si>
  <si>
    <t>1826.85</t>
  </si>
  <si>
    <t>ffc573d5-fd0b-470e-b85a-f4635e4af862</t>
  </si>
  <si>
    <t>387cdf02-9e3b-4f04-9418-864590de6fba</t>
  </si>
  <si>
    <t>2023-11-14</t>
  </si>
  <si>
    <t>55218474</t>
  </si>
  <si>
    <t>1616.00</t>
  </si>
  <si>
    <t>1405.92</t>
  </si>
  <si>
    <t>2aa50f4e-c6f0-4933-95d1-805142cb6d1d</t>
  </si>
  <si>
    <t>4fab2ad8-8091-421d-a637-c09facf606fc</t>
  </si>
  <si>
    <t>9228955</t>
  </si>
  <si>
    <t>7748.00</t>
  </si>
  <si>
    <t>20919.6</t>
  </si>
  <si>
    <t>1d7173e5-5bc7-4deb-b123-4efe6e648043</t>
  </si>
  <si>
    <t>849648e8-5084-440f-bb8f-5fc77c96eefa</t>
  </si>
  <si>
    <t>2023-12-19</t>
  </si>
  <si>
    <t>71647401</t>
  </si>
  <si>
    <t>6037.00</t>
  </si>
  <si>
    <t>10866.6</t>
  </si>
  <si>
    <t>da54f267-dd13-4266-926d-53961058fe8c</t>
  </si>
  <si>
    <t>78c5a976-1786-42e8-806b-8fd6af157ed9</t>
  </si>
  <si>
    <t>2023-09-18</t>
  </si>
  <si>
    <t>60712455</t>
  </si>
  <si>
    <t>4975.00</t>
  </si>
  <si>
    <t>4527.25</t>
  </si>
  <si>
    <t>869bdbd2-e72b-45b7-8712-0911b3b68b57</t>
  </si>
  <si>
    <t>f325f875-e417-4ba3-a4ee-c62b51306e5c</t>
  </si>
  <si>
    <t>2023-08-26</t>
  </si>
  <si>
    <t>49277098</t>
  </si>
  <si>
    <t>2357.00</t>
  </si>
  <si>
    <t>7730.96</t>
  </si>
  <si>
    <t>33a1d1c2-ad4a-4155-809f-cd8f739cd488</t>
  </si>
  <si>
    <t>6e6d086c-f7b3-4a86-921d-bc093a357442</t>
  </si>
  <si>
    <t>2023-05-20</t>
  </si>
  <si>
    <t>52604294</t>
  </si>
  <si>
    <t>322.00</t>
  </si>
  <si>
    <t>859.74</t>
  </si>
  <si>
    <t>41a8a6e1-65e0-4993-bf41-1fed1e70e799</t>
  </si>
  <si>
    <t>c57842a9-934c-472a-8c72-fe13fbf28c1c</t>
  </si>
  <si>
    <t>21687822</t>
  </si>
  <si>
    <t>1172.00</t>
  </si>
  <si>
    <t>3937.92</t>
  </si>
  <si>
    <t>ff3e0ba1-0ac7-48b4-a418-65bf350d278d</t>
  </si>
  <si>
    <t>437249fd-17ee-4fe6-a810-91fe0a5a0322</t>
  </si>
  <si>
    <t>2023-04-20</t>
  </si>
  <si>
    <t>65285923</t>
  </si>
  <si>
    <t>1921.00</t>
  </si>
  <si>
    <t>1632.85</t>
  </si>
  <si>
    <t>9f982188-3744-4a64-8c24-9558f2ad985f</t>
  </si>
  <si>
    <t>2db6de21-53a9-4c5d-b9b5-c70e3346f7c6</t>
  </si>
  <si>
    <t>2023-11-28</t>
  </si>
  <si>
    <t>11313731</t>
  </si>
  <si>
    <t>2075.00</t>
  </si>
  <si>
    <t>1909</t>
  </si>
  <si>
    <t>755a3ac1-32ae-4a20-9ac9-02ee25777cf0</t>
  </si>
  <si>
    <t>b2daa1f6-cc16-414a-ae4a-6e781cf4a8ed</t>
  </si>
  <si>
    <t>6545949</t>
  </si>
  <si>
    <t>8959.00</t>
  </si>
  <si>
    <t>25264.38</t>
  </si>
  <si>
    <t>d3b564b0-8be0-4c3e-9c94-938160c6b3ed</t>
  </si>
  <si>
    <t>f3f05323-3bd5-48a2-873c-36ba5d393bf9</t>
  </si>
  <si>
    <t>2023-01-17</t>
  </si>
  <si>
    <t>78047631</t>
  </si>
  <si>
    <t>6046.00</t>
  </si>
  <si>
    <t>21523.76</t>
  </si>
  <si>
    <t>98a33736-fd1a-47ce-9ad0-a6f226bdd974</t>
  </si>
  <si>
    <t>88da091b-61f6-4877-8212-585b0b2f8580</t>
  </si>
  <si>
    <t>2023-06-02</t>
  </si>
  <si>
    <t>70896534</t>
  </si>
  <si>
    <t>5482.00</t>
  </si>
  <si>
    <t>4550.06</t>
  </si>
  <si>
    <t>905c053b-25fd-4cbe-bce7-1b48fba52e59</t>
  </si>
  <si>
    <t>d24e3104-1dd2-4234-a131-24bd01275a63</t>
  </si>
  <si>
    <t>2023-05-30</t>
  </si>
  <si>
    <t>95422435</t>
  </si>
  <si>
    <t>6669.00</t>
  </si>
  <si>
    <t>23474.88</t>
  </si>
  <si>
    <t>6c596216-ae0f-4bc8-a36b-cb0167e98363</t>
  </si>
  <si>
    <t>e998952c-ef58-451f-9b1a-e0199aca0c4a</t>
  </si>
  <si>
    <t>2023-04-21</t>
  </si>
  <si>
    <t>15624499</t>
  </si>
  <si>
    <t>4552.00</t>
  </si>
  <si>
    <t>7283.2</t>
  </si>
  <si>
    <t>ade7cef3-7ed2-4c2f-856f-3d95e0ae1a1b</t>
  </si>
  <si>
    <t>7751b3fa-bdb6-4ff3-94e1-67063309a536</t>
  </si>
  <si>
    <t>26012667</t>
  </si>
  <si>
    <t>1007.00</t>
  </si>
  <si>
    <t>2688.69</t>
  </si>
  <si>
    <t>d5627386-528c-4241-a345-ac72eac39204</t>
  </si>
  <si>
    <t>852d2ee5-0061-4d30-9907-3286329cd43a</t>
  </si>
  <si>
    <t>11938132</t>
  </si>
  <si>
    <t>5963.00</t>
  </si>
  <si>
    <t>5068.55</t>
  </si>
  <si>
    <t>a2939b3b-7fa7-4d8a-bf88-ec827f99d273</t>
  </si>
  <si>
    <t>6a4ace0e-d89a-4500-9f13-d2fbe583847f</t>
  </si>
  <si>
    <t>2023-03-25</t>
  </si>
  <si>
    <t>57891224</t>
  </si>
  <si>
    <t>5525.00</t>
  </si>
  <si>
    <t>14917.5</t>
  </si>
  <si>
    <t>8af58903-33b5-43ce-9fec-4623ab899605</t>
  </si>
  <si>
    <t>ed0d0418-2d58-4ce9-8974-5cd7111868f8</t>
  </si>
  <si>
    <t>2023-06-11</t>
  </si>
  <si>
    <t>99907433</t>
  </si>
  <si>
    <t>7815.00</t>
  </si>
  <si>
    <t>28446.6</t>
  </si>
  <si>
    <t>027c013f-3801-4399-ae6a-8e2f9c19ed34</t>
  </si>
  <si>
    <t>6a594b07-eda6-4806-ba19-607d3bfb255e</t>
  </si>
  <si>
    <t>80710097</t>
  </si>
  <si>
    <t>5205.00</t>
  </si>
  <si>
    <t>13741.2</t>
  </si>
  <si>
    <t>bf3df0bb-f66a-4168-b4a1-ca795718ada2</t>
  </si>
  <si>
    <t>00183cfe-ceb0-4220-b984-f33f61c61ae4</t>
  </si>
  <si>
    <t>2023-08-17</t>
  </si>
  <si>
    <t>32738490</t>
  </si>
  <si>
    <t>8503.00</t>
  </si>
  <si>
    <t>29930.56</t>
  </si>
  <si>
    <t>52631db9-d170-44ce-9179-7350e6256403</t>
  </si>
  <si>
    <t>f9df7275-6199-4015-b5c9-599f6f9179cf</t>
  </si>
  <si>
    <t>91258090</t>
  </si>
  <si>
    <t>7166.00</t>
  </si>
  <si>
    <t>25224.32</t>
  </si>
  <si>
    <t>dfde2281-25fb-4f3d-866d-7002091472ad</t>
  </si>
  <si>
    <t>f45c8840-9da2-4338-8a8b-c856c3edd9b7</t>
  </si>
  <si>
    <t>54839403</t>
  </si>
  <si>
    <t>7201.00</t>
  </si>
  <si>
    <t>11665.62</t>
  </si>
  <si>
    <t>27e969e2-c8bf-43fb-9a43-1f7a41c30359</t>
  </si>
  <si>
    <t>58d97f4a-9533-4356-874f-3be044f20133</t>
  </si>
  <si>
    <t>2023-11-23</t>
  </si>
  <si>
    <t>96515457</t>
  </si>
  <si>
    <t>6760.00</t>
  </si>
  <si>
    <t>18252</t>
  </si>
  <si>
    <t>4b5ca436-953c-478e-a106-7a8cd7a3283c</t>
  </si>
  <si>
    <t>565af699-d3bb-43d7-9e12-425cb42fb357</t>
  </si>
  <si>
    <t>2023-10-15</t>
  </si>
  <si>
    <t>14925009</t>
  </si>
  <si>
    <t>9487.00</t>
  </si>
  <si>
    <t>31876.32</t>
  </si>
  <si>
    <t>786e30ef-ce9b-4e70-b4d4-dfccb7d779cc</t>
  </si>
  <si>
    <t>2266a107-a408-401f-b433-97f1ad5b9bb2</t>
  </si>
  <si>
    <t>2023-01-14</t>
  </si>
  <si>
    <t>96063699</t>
  </si>
  <si>
    <t>6137.00</t>
  </si>
  <si>
    <t>17490.45</t>
  </si>
  <si>
    <t>843b2a7d-15ab-4c21-8cc9-3ff710fce97d</t>
  </si>
  <si>
    <t>40709bd4-1790-46b7-845c-21e7988d0e4a</t>
  </si>
  <si>
    <t>2023-11-24</t>
  </si>
  <si>
    <t>74029785</t>
  </si>
  <si>
    <t>1142.00</t>
  </si>
  <si>
    <t>3014.88</t>
  </si>
  <si>
    <t>10fc9eee-0a17-47f7-aa5f-24b6de6fec4b</t>
  </si>
  <si>
    <t>1a7e256d-b6ff-412c-9a6f-0c9af1f7e90f</t>
  </si>
  <si>
    <t>10012666</t>
  </si>
  <si>
    <t>8087.00</t>
  </si>
  <si>
    <t>19894.02</t>
  </si>
  <si>
    <t>4cea2df0-0a66-4c4e-a168-1081399f8a8f</t>
  </si>
  <si>
    <t>24536074-b13d-4531-862d-7f7a45dae1f3</t>
  </si>
  <si>
    <t>92381001</t>
  </si>
  <si>
    <t>1934.00</t>
  </si>
  <si>
    <t>5047.74</t>
  </si>
  <si>
    <t>72d6bc20-d80d-4a1c-8247-2fd603e9ba02</t>
  </si>
  <si>
    <t>22ca9fe8-a8aa-4d13-85a9-18d19eede43c</t>
  </si>
  <si>
    <t>2023-03-21</t>
  </si>
  <si>
    <t>66426059</t>
  </si>
  <si>
    <t>1613.64</t>
  </si>
  <si>
    <t>ccf719ab-2922-4bd8-9ca5-b35354a1d505</t>
  </si>
  <si>
    <t>f9d2b2de-92bb-4701-b503-c56e61002dbd</t>
  </si>
  <si>
    <t>68385934</t>
  </si>
  <si>
    <t>7187.00</t>
  </si>
  <si>
    <t>22998.4</t>
  </si>
  <si>
    <t>75f2bc20-a7f5-495c-9e62-d43f261908b9</t>
  </si>
  <si>
    <t>6bd1f046-339f-4b69-91cd-2c07a8f78b61</t>
  </si>
  <si>
    <t>2023-10-02</t>
  </si>
  <si>
    <t>6780357</t>
  </si>
  <si>
    <t>4964.00</t>
  </si>
  <si>
    <t>12360.36</t>
  </si>
  <si>
    <t>61d9fe39-8147-48f4-9f0e-f320f7f60e7f</t>
  </si>
  <si>
    <t>8f41d3e4-1ece-45e5-8018-41f4820d15c6</t>
  </si>
  <si>
    <t>2023-02-10</t>
  </si>
  <si>
    <t>72933039</t>
  </si>
  <si>
    <t>1379.00</t>
  </si>
  <si>
    <t>1130.78</t>
  </si>
  <si>
    <t>089b30a0-809f-4923-87a1-798fe6addd9e</t>
  </si>
  <si>
    <t>79801aaa-e93b-4418-b170-b1ed1b040be3</t>
  </si>
  <si>
    <t>14554223</t>
  </si>
  <si>
    <t>245.00</t>
  </si>
  <si>
    <t>198.45</t>
  </si>
  <si>
    <t>cb4d18d6-adb6-4a35-9734-a26c92e94e89</t>
  </si>
  <si>
    <t>729bd820-e4ad-44e2-824d-9e961fe253b0</t>
  </si>
  <si>
    <t>96406199</t>
  </si>
  <si>
    <t>3331.00</t>
  </si>
  <si>
    <t>5662.7</t>
  </si>
  <si>
    <t>99a2ecb1-c202-487b-849b-8a44ce1bb02a</t>
  </si>
  <si>
    <t>8c3af69e-7474-4f6f-adbd-b6e57844c2ac</t>
  </si>
  <si>
    <t>2023-06-16</t>
  </si>
  <si>
    <t>72636626</t>
  </si>
  <si>
    <t>1363.00</t>
  </si>
  <si>
    <t>2180.8</t>
  </si>
  <si>
    <t>6d265dd8-bf39-4fbb-938c-3460fd938adc</t>
  </si>
  <si>
    <t>41229d75-6a8d-4e84-a0fe-652b56fe2301</t>
  </si>
  <si>
    <t>2023-04-22</t>
  </si>
  <si>
    <t>87950984</t>
  </si>
  <si>
    <t>5463.00</t>
  </si>
  <si>
    <t>14258.43</t>
  </si>
  <si>
    <t>4a276dda-34c3-494a-812e-a9b8e7e13ed8</t>
  </si>
  <si>
    <t>816480fa-90a2-48e1-941b-d89660924d2b</t>
  </si>
  <si>
    <t>33867397</t>
  </si>
  <si>
    <t>5925.00</t>
  </si>
  <si>
    <t>10783.5</t>
  </si>
  <si>
    <t>6af79ad2-993e-48c6-a6b1-06e289110af0</t>
  </si>
  <si>
    <t>dcff697d-d26d-428d-91f1-5ee755e9718e</t>
  </si>
  <si>
    <t>2023-05-10</t>
  </si>
  <si>
    <t>18122404</t>
  </si>
  <si>
    <t>3359.00</t>
  </si>
  <si>
    <t>2855.15</t>
  </si>
  <si>
    <t>d872298c-7b72-490b-b8f8-f071d360da69</t>
  </si>
  <si>
    <t>59de5319-3f9b-4cfc-b42c-59053bcab3ea</t>
  </si>
  <si>
    <t>2023-08-12</t>
  </si>
  <si>
    <t>51298920</t>
  </si>
  <si>
    <t>9131.00</t>
  </si>
  <si>
    <t>31775.88</t>
  </si>
  <si>
    <t>9b8086da-6379-4035-b8e4-5086ca819c6f</t>
  </si>
  <si>
    <t>69083bd6-ef61-4cac-8674-d2447b056d02</t>
  </si>
  <si>
    <t>2023-10-28</t>
  </si>
  <si>
    <t>86405201</t>
  </si>
  <si>
    <t>8801.00</t>
  </si>
  <si>
    <t>24290.76</t>
  </si>
  <si>
    <t>dd620222-d9ef-428b-bbcb-50b3961d8dcf</t>
  </si>
  <si>
    <t>e355c369-b931-426d-b26e-8017061f5679</t>
  </si>
  <si>
    <t>2023-08-05</t>
  </si>
  <si>
    <t>83794605</t>
  </si>
  <si>
    <t>9187.00</t>
  </si>
  <si>
    <t>17271.56</t>
  </si>
  <si>
    <t>e2a01335-a830-43ab-853e-4b42cc4da021</t>
  </si>
  <si>
    <t>f5652d00-67a4-4b26-8d6e-44f20189a5d9</t>
  </si>
  <si>
    <t>2023-01-25</t>
  </si>
  <si>
    <t>39435149</t>
  </si>
  <si>
    <t>8928.00</t>
  </si>
  <si>
    <t>29283.84</t>
  </si>
  <si>
    <t>4d6cd782-2e95-43ea-bda1-7da2000fc63d</t>
  </si>
  <si>
    <t>3956fba9-7232-4dc9-8677-81b2c3a31607</t>
  </si>
  <si>
    <t>2023-03-09</t>
  </si>
  <si>
    <t>75404154</t>
  </si>
  <si>
    <t>4078.00</t>
  </si>
  <si>
    <t>3792.54</t>
  </si>
  <si>
    <t>552ae5ca-4124-405b-91fc-fe8881c16e98</t>
  </si>
  <si>
    <t>7a2be049-40d2-416f-bdb6-12f46df2fc82</t>
  </si>
  <si>
    <t>2023-09-17</t>
  </si>
  <si>
    <t>43533336</t>
  </si>
  <si>
    <t>8418.00</t>
  </si>
  <si>
    <t>13468.8</t>
  </si>
  <si>
    <t>4312ece2-dc21-41e1-be56-ac3d10cc8711</t>
  </si>
  <si>
    <t>70df67b9-3a6f-46fa-a418-13ef799fde33</t>
  </si>
  <si>
    <t>2023-08-23</t>
  </si>
  <si>
    <t>61842564</t>
  </si>
  <si>
    <t>2402.00</t>
  </si>
  <si>
    <t>6773.64</t>
  </si>
  <si>
    <t>c5c14262-4d84-4ec5-9334-886ff164f9d8</t>
  </si>
  <si>
    <t>7c76a592-a73e-4f3b-9c27-761d4894d9fc</t>
  </si>
  <si>
    <t>2023-07-24</t>
  </si>
  <si>
    <t>8086143</t>
  </si>
  <si>
    <t>5862.00</t>
  </si>
  <si>
    <t>10317.12</t>
  </si>
  <si>
    <t>6238d0a0-cf5e-4ea3-a258-4ab368777bab</t>
  </si>
  <si>
    <t>26184c80-edf6-41e0-ae8f-0e0999755cb9</t>
  </si>
  <si>
    <t>38411861</t>
  </si>
  <si>
    <t>8123.00</t>
  </si>
  <si>
    <t>20957.34</t>
  </si>
  <si>
    <t>ef7e85ec-a417-456f-a9ee-7f3d0ff030b8</t>
  </si>
  <si>
    <t>af3b5a91-85ba-4545-94e2-6a5bf807cdd9</t>
  </si>
  <si>
    <t>2023-08-03</t>
  </si>
  <si>
    <t>85221444</t>
  </si>
  <si>
    <t>5807.00</t>
  </si>
  <si>
    <t>14111.01</t>
  </si>
  <si>
    <t>babd4745-497e-4f1a-bd2b-f042209818d1</t>
  </si>
  <si>
    <t>eec9fa67-4cc6-42fc-b006-ff85166a1a98</t>
  </si>
  <si>
    <t>2023-07-09</t>
  </si>
  <si>
    <t>27438930</t>
  </si>
  <si>
    <t>3279.00</t>
  </si>
  <si>
    <t>5967.78</t>
  </si>
  <si>
    <t>f11ddff7-0e37-4526-9582-a3bdd476fe38</t>
  </si>
  <si>
    <t>1f6ceec1-ac54-4740-a182-e35f848edc98</t>
  </si>
  <si>
    <t>17356459</t>
  </si>
  <si>
    <t>9742.00</t>
  </si>
  <si>
    <t>26011.14</t>
  </si>
  <si>
    <t>2412579d-6af9-44e0-bb38-785b0932f5b6</t>
  </si>
  <si>
    <t>57c2747f-27b5-4ee7-8f1a-6c44f239fbb0</t>
  </si>
  <si>
    <t>2023-08-04</t>
  </si>
  <si>
    <t>12758210</t>
  </si>
  <si>
    <t>1650.00</t>
  </si>
  <si>
    <t>4306.5</t>
  </si>
  <si>
    <t>9a1a7d6f-dd02-4100-a3d4-84087de8a234</t>
  </si>
  <si>
    <t>9f2d5db8-deba-489f-959d-e20409642b31</t>
  </si>
  <si>
    <t>76759475</t>
  </si>
  <si>
    <t>10562.1</t>
  </si>
  <si>
    <t>b2ddc481-ac6d-4df8-94e5-064cb799ae8e</t>
  </si>
  <si>
    <t>e668bb6e-c408-443f-a90d-07e4ce1f4081</t>
  </si>
  <si>
    <t>24061797</t>
  </si>
  <si>
    <t>2404.00</t>
  </si>
  <si>
    <t>7981.28</t>
  </si>
  <si>
    <t>5a4f4145-fc98-4279-8f6f-111c26c06e67</t>
  </si>
  <si>
    <t>3008a519-ad83-4951-a3ea-a00577f63854</t>
  </si>
  <si>
    <t>21163418</t>
  </si>
  <si>
    <t>8865.00</t>
  </si>
  <si>
    <t>21276</t>
  </si>
  <si>
    <t>775e0ec3-9c9d-43f3-8901-8aee69407be7</t>
  </si>
  <si>
    <t>2ae201c0-312a-4c3c-bf00-625769560c06</t>
  </si>
  <si>
    <t>2023-04-15</t>
  </si>
  <si>
    <t>69480904</t>
  </si>
  <si>
    <t>8167.00</t>
  </si>
  <si>
    <t>13067.2</t>
  </si>
  <si>
    <t>19faa06e-0c0a-4967-b579-501a62fda854</t>
  </si>
  <si>
    <t>f2b72bd2-c97b-42af-8c10-ef0164119d38</t>
  </si>
  <si>
    <t>2023-08-01</t>
  </si>
  <si>
    <t>66853329</t>
  </si>
  <si>
    <t>7827.00</t>
  </si>
  <si>
    <t>19958.85</t>
  </si>
  <si>
    <t>052daad3-26c0-4984-8734-bb05788c31f6</t>
  </si>
  <si>
    <t>56c6544d-f60c-4881-85ac-7520cd4668fe</t>
  </si>
  <si>
    <t>2023-05-19</t>
  </si>
  <si>
    <t>11892458</t>
  </si>
  <si>
    <t>3663.00</t>
  </si>
  <si>
    <t>9999.99</t>
  </si>
  <si>
    <t>21f8c156-9e0d-445b-992a-34a1084fa819</t>
  </si>
  <si>
    <t>d46e34aa-ae9d-4797-8284-e0bee33e270a</t>
  </si>
  <si>
    <t>78362994</t>
  </si>
  <si>
    <t>4177.00</t>
  </si>
  <si>
    <t>10776.66</t>
  </si>
  <si>
    <t>b3386c3e-1af4-487f-92eb-dac5a1457899</t>
  </si>
  <si>
    <t>53fb2ed1-b953-4807-b009-61c3855a7d8d</t>
  </si>
  <si>
    <t>25205213</t>
  </si>
  <si>
    <t>6389.00</t>
  </si>
  <si>
    <t>23255.96</t>
  </si>
  <si>
    <t>31e9ca80-58bf-4b9e-a624-5b598c94af98</t>
  </si>
  <si>
    <t>8af37d72-ec4f-4490-84ea-f9432ee66e21</t>
  </si>
  <si>
    <t>2023-06-06</t>
  </si>
  <si>
    <t>85931817</t>
  </si>
  <si>
    <t>6821.00</t>
  </si>
  <si>
    <t>19030.59</t>
  </si>
  <si>
    <t>c707aef9-c6c3-444c-888e-03b662276cbc</t>
  </si>
  <si>
    <t>952b750d-9830-449d-99ef-bb41b66b6b0b</t>
  </si>
  <si>
    <t>78974593</t>
  </si>
  <si>
    <t>6997.00</t>
  </si>
  <si>
    <t>6647.15</t>
  </si>
  <si>
    <t>0f66b32d-e19b-4837-9c6a-4b5e7d859725</t>
  </si>
  <si>
    <t>b050eb01-a22f-4818-a6f3-32446f1d5baf</t>
  </si>
  <si>
    <t>13064853</t>
  </si>
  <si>
    <t>1811.00</t>
  </si>
  <si>
    <t>3114.92</t>
  </si>
  <si>
    <t>9d44c93e-7799-48e2-b368-c5539c30ceaa</t>
  </si>
  <si>
    <t>a9c7ae92-e61b-4dc6-be52-5e4f9e203161</t>
  </si>
  <si>
    <t>2023-01-28</t>
  </si>
  <si>
    <t>39541727</t>
  </si>
  <si>
    <t>7857.00</t>
  </si>
  <si>
    <t>14299.74</t>
  </si>
  <si>
    <t>a6855857-567e-4862-af15-1673a1df3da7</t>
  </si>
  <si>
    <t>991ab513-369f-4284-adc6-41cd921bc646</t>
  </si>
  <si>
    <t>2023-08-06</t>
  </si>
  <si>
    <t>1745474</t>
  </si>
  <si>
    <t>5345.00</t>
  </si>
  <si>
    <t>19883.4</t>
  </si>
  <si>
    <t>b6af98b2-aeba-42d0-b830-32491fd3af07</t>
  </si>
  <si>
    <t>7cddb4cc-3e33-4f35-886c-976870fe3cfc</t>
  </si>
  <si>
    <t>5535552</t>
  </si>
  <si>
    <t>9484.00</t>
  </si>
  <si>
    <t>7871.72</t>
  </si>
  <si>
    <t>d960af85-c9df-4e44-8bdf-fa7d9f3dd894</t>
  </si>
  <si>
    <t>5153f737-d7f1-4ec2-9a9d-add2e7aad070</t>
  </si>
  <si>
    <t>2023-11-06</t>
  </si>
  <si>
    <t>63069846</t>
  </si>
  <si>
    <t>8104.00</t>
  </si>
  <si>
    <t>14911.36</t>
  </si>
  <si>
    <t>633cbf79-e96a-41af-b55e-3aa2208a393e</t>
  </si>
  <si>
    <t>0021b632-3246-47d9-bb29-66398e4a295d</t>
  </si>
  <si>
    <t>69081507</t>
  </si>
  <si>
    <t>6127.00</t>
  </si>
  <si>
    <t>4901.6</t>
  </si>
  <si>
    <t>beebb4ea-eab9-421b-8b36-b545cca1a034</t>
  </si>
  <si>
    <t>3e2b6653-2258-4df3-8ff0-952a0b2591c4</t>
  </si>
  <si>
    <t>62120845</t>
  </si>
  <si>
    <t>739.00</t>
  </si>
  <si>
    <t>1226.74</t>
  </si>
  <si>
    <t>fbbff9e0-ae56-402a-b521-ca9fdf5e6f78</t>
  </si>
  <si>
    <t>9c272c51-ac98-4368-9fc8-b87a7176d181</t>
  </si>
  <si>
    <t>35391364</t>
  </si>
  <si>
    <t>4401.00</t>
  </si>
  <si>
    <t>14259.24</t>
  </si>
  <si>
    <t>dc45488d-84dd-49b9-9f1e-0ee9cf6c9992</t>
  </si>
  <si>
    <t>1beaf9cf-af3c-49d0-a92c-3c3e3957f082</t>
  </si>
  <si>
    <t>2023-01-30</t>
  </si>
  <si>
    <t>54017467</t>
  </si>
  <si>
    <t>9986.00</t>
  </si>
  <si>
    <t>17175.92</t>
  </si>
  <si>
    <t>09c67417-306a-4871-beef-71cbc915d113</t>
  </si>
  <si>
    <t>840658d1-c1da-4d39-b735-0626dca8b6fd</t>
  </si>
  <si>
    <t>32702026</t>
  </si>
  <si>
    <t>4560.00</t>
  </si>
  <si>
    <t>16051.2</t>
  </si>
  <si>
    <t>5f1ff97c-71cf-4814-a45b-d776c838a145</t>
  </si>
  <si>
    <t>a2521f50-a54e-4c8f-acb3-077a6cef5e55</t>
  </si>
  <si>
    <t>2023-02-05</t>
  </si>
  <si>
    <t>90150333</t>
  </si>
  <si>
    <t>4541.00</t>
  </si>
  <si>
    <t>16892.52</t>
  </si>
  <si>
    <t>5b471c43-7499-428c-b0c3-2323c1b199c4</t>
  </si>
  <si>
    <t>aedab7b5-e2aa-45a7-8951-03edfd05a5f5</t>
  </si>
  <si>
    <t>2023-10-23</t>
  </si>
  <si>
    <t>74495856</t>
  </si>
  <si>
    <t>2456.00</t>
  </si>
  <si>
    <t>6557.52</t>
  </si>
  <si>
    <t>f4dd05d5-1349-447a-a1cb-a182ca20854d</t>
  </si>
  <si>
    <t>31307e46-af79-4546-be51-68dc5690f74d</t>
  </si>
  <si>
    <t>2023-03-15</t>
  </si>
  <si>
    <t>79803236</t>
  </si>
  <si>
    <t>9916.00</t>
  </si>
  <si>
    <t>8626.92</t>
  </si>
  <si>
    <t>0a3c2c6f-ef2d-4a38-a6e4-b8df0b6d9611</t>
  </si>
  <si>
    <t>d7de701d-8eaf-4323-9f65-380029c836e0</t>
  </si>
  <si>
    <t>2023-10-25</t>
  </si>
  <si>
    <t>31210980</t>
  </si>
  <si>
    <t>9220.00</t>
  </si>
  <si>
    <t>30610.4</t>
  </si>
  <si>
    <t>06d2ed7c-e6ac-4d8a-8160-ff927c7550f2</t>
  </si>
  <si>
    <t>640ca20c-702a-4b67-b7ae-77585b45cf5a</t>
  </si>
  <si>
    <t>2023-10-30</t>
  </si>
  <si>
    <t>19967769</t>
  </si>
  <si>
    <t>6628.00</t>
  </si>
  <si>
    <t>5501.24</t>
  </si>
  <si>
    <t>91bacf80-aaa0-4996-8522-dc4ef1dd50bf</t>
  </si>
  <si>
    <t>51497435-a9c9-424e-bd72-3837705bacc2</t>
  </si>
  <si>
    <t>2023-08-07</t>
  </si>
  <si>
    <t>9858329</t>
  </si>
  <si>
    <t>8591.00</t>
  </si>
  <si>
    <t>13745.6</t>
  </si>
  <si>
    <t>3acaaf82-374a-4cc9-a039-7e67926146de</t>
  </si>
  <si>
    <t>113c1836-77f4-431b-bde9-d47dd89331ac</t>
  </si>
  <si>
    <t>2023-12-31</t>
  </si>
  <si>
    <t>94846980</t>
  </si>
  <si>
    <t>9579.00</t>
  </si>
  <si>
    <t>8525.31</t>
  </si>
  <si>
    <t>e27ac8e9-d1c3-41bc-86be-643217ee0eb0</t>
  </si>
  <si>
    <t>1d010478-c110-412c-b843-1ed6258694b6</t>
  </si>
  <si>
    <t>7993640</t>
  </si>
  <si>
    <t>4835.00</t>
  </si>
  <si>
    <t>12039.15</t>
  </si>
  <si>
    <t>809e2109-c786-4a38-a09f-1aede38690e7</t>
  </si>
  <si>
    <t>efb80c63-f42f-438f-a7e0-8e2fc06bad38</t>
  </si>
  <si>
    <t>84159489</t>
  </si>
  <si>
    <t>980.00</t>
  </si>
  <si>
    <t>1744.4</t>
  </si>
  <si>
    <t>81d1bf06-6b8c-46f2-8611-f583b2d10e3d</t>
  </si>
  <si>
    <t>b52f6009-76c0-4651-b361-c49764e0dab3</t>
  </si>
  <si>
    <t>47719453</t>
  </si>
  <si>
    <t>6947.00</t>
  </si>
  <si>
    <t>11948.84</t>
  </si>
  <si>
    <t>254bf7ae-1d0a-4994-b20b-575d4e28e674</t>
  </si>
  <si>
    <t>5e2d2454-e462-42e7-b5c3-de958a647b9f</t>
  </si>
  <si>
    <t>16501591</t>
  </si>
  <si>
    <t>2460.00</t>
  </si>
  <si>
    <t>6346.8</t>
  </si>
  <si>
    <t>6c0be55c-90e6-49e1-a44f-c3a96d0c62c3</t>
  </si>
  <si>
    <t>67f8ab57-0572-4bb5-8bee-2ebdb44788bd</t>
  </si>
  <si>
    <t>2023-07-19</t>
  </si>
  <si>
    <t>18390001</t>
  </si>
  <si>
    <t>1795.00</t>
  </si>
  <si>
    <t>1705.25</t>
  </si>
  <si>
    <t>1ad1daaa-ef8d-4ff0-9583-1feeec41e6f6</t>
  </si>
  <si>
    <t>698eecba-da98-4a57-966a-dfc43513198c</t>
  </si>
  <si>
    <t>2023-03-03</t>
  </si>
  <si>
    <t>47180734</t>
  </si>
  <si>
    <t>8951.00</t>
  </si>
  <si>
    <t>7339.82</t>
  </si>
  <si>
    <t>6a480542-1965-4435-901b-b5fa6a677623</t>
  </si>
  <si>
    <t>ca6cb87c-dfb8-4708-91d2-125a95e19cb6</t>
  </si>
  <si>
    <t>48443692</t>
  </si>
  <si>
    <t>300.00</t>
  </si>
  <si>
    <t>552</t>
  </si>
  <si>
    <t>f45da406-bbf9-4b01-a7f9-e728c618fc1e</t>
  </si>
  <si>
    <t>a2251838-35e1-492e-8a74-bec56951743e</t>
  </si>
  <si>
    <t>2023-12-20</t>
  </si>
  <si>
    <t>77450999</t>
  </si>
  <si>
    <t>9090.00</t>
  </si>
  <si>
    <t>14544</t>
  </si>
  <si>
    <t>6e5bac20-725c-4675-8a95-71e407dc02b1</t>
  </si>
  <si>
    <t>ab341860-fefd-420b-b5ef-aa99010f5ddf</t>
  </si>
  <si>
    <t>2023-02-14</t>
  </si>
  <si>
    <t>94151268</t>
  </si>
  <si>
    <t>4023.00</t>
  </si>
  <si>
    <t>9896.58</t>
  </si>
  <si>
    <t>7f22cd12-07b6-408e-aac1-ca75afb918c8</t>
  </si>
  <si>
    <t>e80bb7eb-a499-49cf-87e5-1bbc22e9e671</t>
  </si>
  <si>
    <t>74549320</t>
  </si>
  <si>
    <t>1133.00</t>
  </si>
  <si>
    <t>1053.69</t>
  </si>
  <si>
    <t>53125ffd-f655-460b-9d32-e231eb561699</t>
  </si>
  <si>
    <t>8b3e00e7-6151-487e-8f02-7fe87d5d9031</t>
  </si>
  <si>
    <t>87747119</t>
  </si>
  <si>
    <t>8530.00</t>
  </si>
  <si>
    <t>7079.9</t>
  </si>
  <si>
    <t>5a3da367-141b-4a1b-80a9-78bfb8f8903b</t>
  </si>
  <si>
    <t>9ad73702-140a-442e-90e8-57f88986148f</t>
  </si>
  <si>
    <t>2023-02-03</t>
  </si>
  <si>
    <t>28045557</t>
  </si>
  <si>
    <t>9826.00</t>
  </si>
  <si>
    <t>8057.32</t>
  </si>
  <si>
    <t>b1182d23-5bf8-4676-9f12-a0e912011caa</t>
  </si>
  <si>
    <t>c095e099-7e24-4205-bb00-d206f8542953</t>
  </si>
  <si>
    <t>2023-05-14</t>
  </si>
  <si>
    <t>6524708</t>
  </si>
  <si>
    <t>835.00</t>
  </si>
  <si>
    <t>2154.3</t>
  </si>
  <si>
    <t>2d8b5b41-590e-43da-986f-1721078548d7</t>
  </si>
  <si>
    <t>9df497f1-6b5a-474d-b436-7eaa03ea038f</t>
  </si>
  <si>
    <t>2023-08-21</t>
  </si>
  <si>
    <t>88454955</t>
  </si>
  <si>
    <t>8932.00</t>
  </si>
  <si>
    <t>24116.4</t>
  </si>
  <si>
    <t>3b019fcb-f96d-4403-948c-93f3028d042b</t>
  </si>
  <si>
    <t>156e3ae5-4fe4-4735-9c29-b6dac1d7fbe9</t>
  </si>
  <si>
    <t>2023-09-13</t>
  </si>
  <si>
    <t>15079251</t>
  </si>
  <si>
    <t>16002</t>
  </si>
  <si>
    <t>98ba0f0e-120d-4126-9da5-3b38d1aa6c5e</t>
  </si>
  <si>
    <t>cef980ce-c471-421a-85f2-b928beb9c9e2</t>
  </si>
  <si>
    <t>94470727</t>
  </si>
  <si>
    <t>9015.00</t>
  </si>
  <si>
    <t>29569.2</t>
  </si>
  <si>
    <t>00d3d1af-353e-4c86-a4ae-ba79e4b82987</t>
  </si>
  <si>
    <t>dd9539fc-f7cd-4b75-9d26-3e763d3703f8</t>
  </si>
  <si>
    <t>35310679</t>
  </si>
  <si>
    <t>1389.00</t>
  </si>
  <si>
    <t>5222.64</t>
  </si>
  <si>
    <t>bb6b0095-ac7b-4ab2-a8b5-6f85346d2b7e</t>
  </si>
  <si>
    <t>f555a628-dd15-4fb4-9680-51b70723b796</t>
  </si>
  <si>
    <t>69050077</t>
  </si>
  <si>
    <t>1676.00</t>
  </si>
  <si>
    <t>2882.72</t>
  </si>
  <si>
    <t>bf7b68ae-1f89-41b6-a6a1-a40bf031f4b9</t>
  </si>
  <si>
    <t>773b8350-2743-40df-9e15-428a833cf90f</t>
  </si>
  <si>
    <t>43271689</t>
  </si>
  <si>
    <t>298.00</t>
  </si>
  <si>
    <t>524.48</t>
  </si>
  <si>
    <t>b080e003-5e7f-403c-8b13-47f601d6d903</t>
  </si>
  <si>
    <t>72789d75-97f0-4fcf-9c35-1dc942260a44</t>
  </si>
  <si>
    <t>2023-09-12</t>
  </si>
  <si>
    <t>4120049</t>
  </si>
  <si>
    <t>9701.00</t>
  </si>
  <si>
    <t>36087.72</t>
  </si>
  <si>
    <t>3b9cea95-9ad7-458f-aecb-325b064f768d</t>
  </si>
  <si>
    <t>fb2323e7-d6a2-4379-a0c6-a8a74748f7ea</t>
  </si>
  <si>
    <t>68941574</t>
  </si>
  <si>
    <t>4156.00</t>
  </si>
  <si>
    <t>7730.16</t>
  </si>
  <si>
    <t>743c7e9d-2fde-4035-a452-bc39dbf2eed1</t>
  </si>
  <si>
    <t>bef874d7-6251-474d-a1f9-c40838330558</t>
  </si>
  <si>
    <t>2023-05-17</t>
  </si>
  <si>
    <t>95453088</t>
  </si>
  <si>
    <t>8998.00</t>
  </si>
  <si>
    <t>32032.88</t>
  </si>
  <si>
    <t>b51d70d8-582d-4972-ba08-9ca81cc5a8a0</t>
  </si>
  <si>
    <t>3a724b9f-56fb-4c72-ad6a-1bfc81be81f4</t>
  </si>
  <si>
    <t>37806507</t>
  </si>
  <si>
    <t>3528.00</t>
  </si>
  <si>
    <t>3351.6</t>
  </si>
  <si>
    <t>0726d44a-2152-43c7-821a-a15ef58c43ce</t>
  </si>
  <si>
    <t>ef82c4d6-438d-48b1-9719-64f8d2fb05ca</t>
  </si>
  <si>
    <t>83183089</t>
  </si>
  <si>
    <t>8269.00</t>
  </si>
  <si>
    <t>7772.86</t>
  </si>
  <si>
    <t>55c36c3d-5cbb-4080-b547-5c5ef76dce6e</t>
  </si>
  <si>
    <t>50c6fa8c-27a0-408c-8b44-361f16c7354a</t>
  </si>
  <si>
    <t>52397875</t>
  </si>
  <si>
    <t>984.48</t>
  </si>
  <si>
    <t>4bdd5f99-4ae9-4e11-b5fe-0213792ecd75</t>
  </si>
  <si>
    <t>7c2b940d-9045-4445-958c-d60ea07f7f47</t>
  </si>
  <si>
    <t>62742054</t>
  </si>
  <si>
    <t>6842.00</t>
  </si>
  <si>
    <t>6363.06</t>
  </si>
  <si>
    <t>8d9ecfb9-f549-4e22-a0df-7f74efe78b60</t>
  </si>
  <si>
    <t>86fe0ded-fe38-484b-b489-362c10345193</t>
  </si>
  <si>
    <t>2023-12-14</t>
  </si>
  <si>
    <t>45436000</t>
  </si>
  <si>
    <t>4330.00</t>
  </si>
  <si>
    <t>10781.7</t>
  </si>
  <si>
    <t>97d01e70-2f1d-4bef-93b5-3b92a2cb5f38</t>
  </si>
  <si>
    <t>62b22fd5-51c6-42e4-af48-744f7abc9f0b</t>
  </si>
  <si>
    <t>2023-06-18</t>
  </si>
  <si>
    <t>12959204</t>
  </si>
  <si>
    <t>9838.00</t>
  </si>
  <si>
    <t>27743.16</t>
  </si>
  <si>
    <t>88819f42-1a42-4629-94af-e646fe3216bd</t>
  </si>
  <si>
    <t>1dd95d4c-0637-4dca-9f46-30adbaaa6300</t>
  </si>
  <si>
    <t>8292124</t>
  </si>
  <si>
    <t>6069.00</t>
  </si>
  <si>
    <t>5644.17</t>
  </si>
  <si>
    <t>606821d6-280a-47ee-8ec9-85ff94b28b9d</t>
  </si>
  <si>
    <t>ef89c2e7-aa17-4666-9b6e-83a96f2af3b2</t>
  </si>
  <si>
    <t>2023-06-26</t>
  </si>
  <si>
    <t>28266051</t>
  </si>
  <si>
    <t>9662.00</t>
  </si>
  <si>
    <t>16811.88</t>
  </si>
  <si>
    <t>200f7753-f217-4aac-a59c-ff81e5ce0ca6</t>
  </si>
  <si>
    <t>2449213a-c2fa-4184-a232-4672f64e8f4a</t>
  </si>
  <si>
    <t>45903908</t>
  </si>
  <si>
    <t>4907.00</t>
  </si>
  <si>
    <t>4661.65</t>
  </si>
  <si>
    <t>82221345-50de-4292-b90a-9016cdec85da</t>
  </si>
  <si>
    <t>b49b93d5-1e70-4e19-87f7-9ee0e299cb48</t>
  </si>
  <si>
    <t>55519557</t>
  </si>
  <si>
    <t>1244.00</t>
  </si>
  <si>
    <t>2363.6</t>
  </si>
  <si>
    <t>2f16fb50-c13e-46af-bc95-90d33e2aad3e</t>
  </si>
  <si>
    <t>a11b26b0-0823-4adf-bf75-12c56e05724d</t>
  </si>
  <si>
    <t>16359420</t>
  </si>
  <si>
    <t>1761.00</t>
  </si>
  <si>
    <t>4437.72</t>
  </si>
  <si>
    <t>a9c72e7b-6b77-4df1-9f59-aa2c4a82e06a</t>
  </si>
  <si>
    <t>1d8cca3b-6261-4790-83a0-61c445a16970</t>
  </si>
  <si>
    <t>38292811</t>
  </si>
  <si>
    <t>8562.00</t>
  </si>
  <si>
    <t>28425.84</t>
  </si>
  <si>
    <t>99e8c828-21da-432c-9c68-d4fd0bd7696f</t>
  </si>
  <si>
    <t>9dbdc6ff-5fad-4a0d-8aa8-3cd65804a881</t>
  </si>
  <si>
    <t>2023-04-25</t>
  </si>
  <si>
    <t>59989196</t>
  </si>
  <si>
    <t>6922.00</t>
  </si>
  <si>
    <t>18689.4</t>
  </si>
  <si>
    <t>b3c161c3-13f2-437c-a4d0-27590542bd75</t>
  </si>
  <si>
    <t>bebbe60d-3085-4e6d-a31c-c5d2cd96a6a1</t>
  </si>
  <si>
    <t>25474725</t>
  </si>
  <si>
    <t>6585.00</t>
  </si>
  <si>
    <t>21072</t>
  </si>
  <si>
    <t>4ca49aaf-6b94-4e09-a1cc-14b312bdf75f</t>
  </si>
  <si>
    <t>0f424ffa-8abb-472c-8aae-0c3ad31224e0</t>
  </si>
  <si>
    <t>66515241</t>
  </si>
  <si>
    <t>3180.00</t>
  </si>
  <si>
    <t>5469.6</t>
  </si>
  <si>
    <t>ed28508d-bdaa-4bfa-aab0-15638cffbbb1</t>
  </si>
  <si>
    <t>03927935-8d5f-42c0-83f0-ba7756b8002a</t>
  </si>
  <si>
    <t>2023-08-30</t>
  </si>
  <si>
    <t>25715545</t>
  </si>
  <si>
    <t>4102.00</t>
  </si>
  <si>
    <t>3773.84</t>
  </si>
  <si>
    <t>4c4b91fe-6c14-4fc6-9750-ca7e246cb09c</t>
  </si>
  <si>
    <t>d1cae193-7ed6-4f4e-a875-176629530a13</t>
  </si>
  <si>
    <t>2023-10-17</t>
  </si>
  <si>
    <t>52633294</t>
  </si>
  <si>
    <t>2033.00</t>
  </si>
  <si>
    <t>6993.52</t>
  </si>
  <si>
    <t>3f80c31f-15a5-412c-9ac4-b6c7a31034dd</t>
  </si>
  <si>
    <t>4202faf9-dceb-4f56-a31c-a36b059ebb2e</t>
  </si>
  <si>
    <t>2023-05-27</t>
  </si>
  <si>
    <t>79693059</t>
  </si>
  <si>
    <t>710.00</t>
  </si>
  <si>
    <t>2612.8</t>
  </si>
  <si>
    <t>a3155940-5e87-405a-a1fd-cdf171df24d9</t>
  </si>
  <si>
    <t>feeac13d-5813-42c2-a33e-383454e27ea6</t>
  </si>
  <si>
    <t>20769109</t>
  </si>
  <si>
    <t>7253.00</t>
  </si>
  <si>
    <t>6527.7</t>
  </si>
  <si>
    <t>605dd4d6-0ecf-495b-877a-2133f2ed33e1</t>
  </si>
  <si>
    <t>8fad725d-9d0b-4f5e-996d-362dfec24805</t>
  </si>
  <si>
    <t>2023-08-10</t>
  </si>
  <si>
    <t>64936093</t>
  </si>
  <si>
    <t>4730.00</t>
  </si>
  <si>
    <t>7662.6</t>
  </si>
  <si>
    <t>f642c8f3-6acf-49eb-8228-4fd9689bba65</t>
  </si>
  <si>
    <t>c20166e3-ca68-4a98-b48e-f9a86aeb5a32</t>
  </si>
  <si>
    <t>2023-12-07</t>
  </si>
  <si>
    <t>36977963</t>
  </si>
  <si>
    <t>5384.00</t>
  </si>
  <si>
    <t>4791.76</t>
  </si>
  <si>
    <t>70f8dd99-5217-4eb7-a6b9-20daba6a098f</t>
  </si>
  <si>
    <t>1aac3ca1-920c-404e-8063-d5251152797e</t>
  </si>
  <si>
    <t>2023-01-03</t>
  </si>
  <si>
    <t>66042259</t>
  </si>
  <si>
    <t>135.00</t>
  </si>
  <si>
    <t>113.4</t>
  </si>
  <si>
    <t>f3cc9d8a-4b16-48e4-9f20-f4063438b4e4</t>
  </si>
  <si>
    <t>ffbdfd47-dc79-42f0-9338-94b3854ca896</t>
  </si>
  <si>
    <t>18972962</t>
  </si>
  <si>
    <t>6096.00</t>
  </si>
  <si>
    <t>17373.6</t>
  </si>
  <si>
    <t>2f7a304f-f344-4911-974f-7a54788c161e</t>
  </si>
  <si>
    <t>08df6b19-7c3a-4037-a0d5-c16e961139cf</t>
  </si>
  <si>
    <t>2023-12-24</t>
  </si>
  <si>
    <t>32407570</t>
  </si>
  <si>
    <t>7467.00</t>
  </si>
  <si>
    <t>13589.94</t>
  </si>
  <si>
    <t>1cb66f67-46e7-45ad-9bce-35d8cbe88a3f</t>
  </si>
  <si>
    <t>393031a6-c82a-4c15-9733-f669852d8585</t>
  </si>
  <si>
    <t>58349076</t>
  </si>
  <si>
    <t>1394.00</t>
  </si>
  <si>
    <t>5129.92</t>
  </si>
  <si>
    <t>27649a62-b02d-452c-9b05-0db28ee4fd02</t>
  </si>
  <si>
    <t>d61a43f2-8ecb-4971-98c8-ece658ea0417</t>
  </si>
  <si>
    <t>2023-09-11</t>
  </si>
  <si>
    <t>24350495</t>
  </si>
  <si>
    <t>5769.00</t>
  </si>
  <si>
    <t>5480.55</t>
  </si>
  <si>
    <t>eda2fc4c-7237-4420-b3dd-77e1cbb02fe9</t>
  </si>
  <si>
    <t>2d5c6415-fedc-48f9-b78b-094cb5178761</t>
  </si>
  <si>
    <t>2023-11-19</t>
  </si>
  <si>
    <t>63039627</t>
  </si>
  <si>
    <t>9317.00</t>
  </si>
  <si>
    <t>23199.33</t>
  </si>
  <si>
    <t>6bf4d047-c484-4a8d-af75-1bde66163e5b</t>
  </si>
  <si>
    <t>3aeb5bc0-f63d-407c-a9d2-1bf8b1954990</t>
  </si>
  <si>
    <t>49832693</t>
  </si>
  <si>
    <t>5020.00</t>
  </si>
  <si>
    <t>18674.4</t>
  </si>
  <si>
    <t>f5a3e893-3f7a-4748-acbb-93c26e84f8ea</t>
  </si>
  <si>
    <t>b2c92c12-9bd9-4220-b38f-4acf66270136</t>
  </si>
  <si>
    <t>75792091</t>
  </si>
  <si>
    <t>1384.00</t>
  </si>
  <si>
    <t>1162.56</t>
  </si>
  <si>
    <t>85fa2d5c-efe6-471b-9723-a95974151acc</t>
  </si>
  <si>
    <t>28702bb1-5931-49b4-b061-46ffbecba4c8</t>
  </si>
  <si>
    <t>66542476</t>
  </si>
  <si>
    <t>6663.00</t>
  </si>
  <si>
    <t>5397.03</t>
  </si>
  <si>
    <t>a1ab17c0-7662-49cc-9af9-5c78247f4d97</t>
  </si>
  <si>
    <t>e5039055-f90b-4724-b883-a8ea44e8a604</t>
  </si>
  <si>
    <t>46937322</t>
  </si>
  <si>
    <t>6183.00</t>
  </si>
  <si>
    <t>11376.72</t>
  </si>
  <si>
    <t>c149fa8e-7bb8-42f1-9624-d318a32652e8</t>
  </si>
  <si>
    <t>8c1a612b-fff9-4f34-b94d-9109593985b5</t>
  </si>
  <si>
    <t>2023-05-31</t>
  </si>
  <si>
    <t>77063847</t>
  </si>
  <si>
    <t>2510.00</t>
  </si>
  <si>
    <t>2259</t>
  </si>
  <si>
    <t>d4864482-0078-4b12-8b73-50d13421beaf</t>
  </si>
  <si>
    <t>773a13fb-3750-4d77-b367-2754da2e6e6c</t>
  </si>
  <si>
    <t>2023-05-26</t>
  </si>
  <si>
    <t>61442238</t>
  </si>
  <si>
    <t>5294.00</t>
  </si>
  <si>
    <t>18634.88</t>
  </si>
  <si>
    <t>764657ca-9e65-436c-b2f7-74b1b2f11ef9</t>
  </si>
  <si>
    <t>20e30a4d-fbce-4cd0-9050-f32cd4062cce</t>
  </si>
  <si>
    <t>2023-07-18</t>
  </si>
  <si>
    <t>42253990</t>
  </si>
  <si>
    <t>4369.00</t>
  </si>
  <si>
    <t>16602.2</t>
  </si>
  <si>
    <t>1d4d1180-4c6e-4fbb-b7fe-f6b501fda698</t>
  </si>
  <si>
    <t>c6b4195c-aa19-4f26-8fa4-1d2246ddb0ac</t>
  </si>
  <si>
    <t>20124946</t>
  </si>
  <si>
    <t>8192.00</t>
  </si>
  <si>
    <t>20152.32</t>
  </si>
  <si>
    <t>4d18c103-a100-4d14-ba92-cd28c4c536fb</t>
  </si>
  <si>
    <t>a908923b-1551-4819-801d-ebf6c503ccb5</t>
  </si>
  <si>
    <t>2023-12-15</t>
  </si>
  <si>
    <t>42049517</t>
  </si>
  <si>
    <t>5796.00</t>
  </si>
  <si>
    <t>5274.36</t>
  </si>
  <si>
    <t>6c98f73d-27fe-4b4b-9bf1-f1d18b92c247</t>
  </si>
  <si>
    <t>df4a518a-4ef0-4a9b-93fd-2516d1bfbaba</t>
  </si>
  <si>
    <t>64598840</t>
  </si>
  <si>
    <t>5366.00</t>
  </si>
  <si>
    <t>18244.4</t>
  </si>
  <si>
    <t>17b18e6e-78af-458e-8058-a332b4cfafa8</t>
  </si>
  <si>
    <t>52c1b3c7-f33c-4233-8833-b07eb4d56ffc</t>
  </si>
  <si>
    <t>18800562</t>
  </si>
  <si>
    <t>167.00</t>
  </si>
  <si>
    <t>307.28</t>
  </si>
  <si>
    <t>f5feba5e-c295-4f51-bf67-ee1aad9d1f42</t>
  </si>
  <si>
    <t>039d60ba-9c99-4735-95a6-52a708fce7af</t>
  </si>
  <si>
    <t>97593164</t>
  </si>
  <si>
    <t>6923.00</t>
  </si>
  <si>
    <t>25476.64</t>
  </si>
  <si>
    <t>67c21355-c312-4af6-8b32-992a3b7c1f9a</t>
  </si>
  <si>
    <t>2a9e9a38-1d5a-474c-8da8-40fd4adb0798</t>
  </si>
  <si>
    <t>2023-04-04</t>
  </si>
  <si>
    <t>61948525</t>
  </si>
  <si>
    <t>1470.00</t>
  </si>
  <si>
    <t>1264.2</t>
  </si>
  <si>
    <t>0588d91d-fbe8-4a8e-a1cf-0d1d47b3df41</t>
  </si>
  <si>
    <t>338f8437-faa2-4bad-867a-6bdfb63c1dd8</t>
  </si>
  <si>
    <t>265058</t>
  </si>
  <si>
    <t>4806.00</t>
  </si>
  <si>
    <t>3940.92</t>
  </si>
  <si>
    <t>ab2212c9-e23b-480e-8523-dbbb1eeed219</t>
  </si>
  <si>
    <t>dd7516f5-58aa-4383-8dff-06d28340fed5</t>
  </si>
  <si>
    <t>58996812</t>
  </si>
  <si>
    <t>3623.00</t>
  </si>
  <si>
    <t>5796.8</t>
  </si>
  <si>
    <t>65ff6adc-41ae-43f7-8010-98240a614be3</t>
  </si>
  <si>
    <t>80b2db0c-6a24-45cf-96c2-b4aa72f78920</t>
  </si>
  <si>
    <t>2023-12-12</t>
  </si>
  <si>
    <t>19833583</t>
  </si>
  <si>
    <t>5899.00</t>
  </si>
  <si>
    <t>4837.18</t>
  </si>
  <si>
    <t>b5c03f6f-94e4-4c44-a3fb-dbda86ae9d5c</t>
  </si>
  <si>
    <t>1f69cd43-68bf-4f7e-94dc-2301882ab925</t>
  </si>
  <si>
    <t>2023-11-26</t>
  </si>
  <si>
    <t>62010535</t>
  </si>
  <si>
    <t>6957.00</t>
  </si>
  <si>
    <t>6261.3</t>
  </si>
  <si>
    <t>bf1df687-1a1e-4042-b1d0-4b0f656fa7e6</t>
  </si>
  <si>
    <t>76847398-fabb-46b6-97f4-3de414934a25</t>
  </si>
  <si>
    <t>69163517</t>
  </si>
  <si>
    <t>554.00</t>
  </si>
  <si>
    <t>963.96</t>
  </si>
  <si>
    <t>df0d6301-488c-4c4e-9a94-14b840aaec7a</t>
  </si>
  <si>
    <t>4bebcf4f-2c94-451d-92fa-3935ff283550</t>
  </si>
  <si>
    <t>12432363</t>
  </si>
  <si>
    <t>5522.00</t>
  </si>
  <si>
    <t>19216.56</t>
  </si>
  <si>
    <t>322f1499-e8a5-4f31-ac2c-10d0c15648ff</t>
  </si>
  <si>
    <t>ac73189c-6fdc-4e00-a0d9-da583db4cb81</t>
  </si>
  <si>
    <t>63308464</t>
  </si>
  <si>
    <t>4845.00</t>
  </si>
  <si>
    <t>4457.4</t>
  </si>
  <si>
    <t>120961ea-0913-4087-95d3-8ca9986cc8d5</t>
  </si>
  <si>
    <t>05dd1ef0-0806-48c9-8967-49fbb2e02961</t>
  </si>
  <si>
    <t>2023-03-05</t>
  </si>
  <si>
    <t>38195549</t>
  </si>
  <si>
    <t>2150.00</t>
  </si>
  <si>
    <t>5160</t>
  </si>
  <si>
    <t>889c8ae2-4e3c-4f2d-8332-559dcad00273</t>
  </si>
  <si>
    <t>d87d3afc-a370-4e8a-821a-c45bd5e32aef</t>
  </si>
  <si>
    <t>83793905</t>
  </si>
  <si>
    <t>6220.00</t>
  </si>
  <si>
    <t>5411.4</t>
  </si>
  <si>
    <t>dc0520a4-87ba-4b90-9e41-5c4e57030ede</t>
  </si>
  <si>
    <t>f9d0a163-def1-474a-9380-1f2544f06c4e</t>
  </si>
  <si>
    <t>2023-04-17</t>
  </si>
  <si>
    <t>91461018</t>
  </si>
  <si>
    <t>4682.00</t>
  </si>
  <si>
    <t>4166.98</t>
  </si>
  <si>
    <t>c31277fd-eb83-4f16-a404-d8083fc18c00</t>
  </si>
  <si>
    <t>fa4b0bc6-5121-431f-9028-361fa94501d7</t>
  </si>
  <si>
    <t>2023-06-14</t>
  </si>
  <si>
    <t>55194136</t>
  </si>
  <si>
    <t>5975.00</t>
  </si>
  <si>
    <t>10635.5</t>
  </si>
  <si>
    <t>dc66a27b-6a32-4333-916e-8a6429deb984</t>
  </si>
  <si>
    <t>49954cf1-faaf-400c-a74b-3d208c3fa29f</t>
  </si>
  <si>
    <t>49116724</t>
  </si>
  <si>
    <t>7809.00</t>
  </si>
  <si>
    <t>14524.74</t>
  </si>
  <si>
    <t>22696227-8513-491e-8862-2a674a294067</t>
  </si>
  <si>
    <t>3fb230b2-b55d-4442-8884-e6660c661a49</t>
  </si>
  <si>
    <t>53232090</t>
  </si>
  <si>
    <t>5095.00</t>
  </si>
  <si>
    <t>8152</t>
  </si>
  <si>
    <t>35d4cd35-a08c-4a00-85e7-425092f078b8</t>
  </si>
  <si>
    <t>84403b37-b13b-4d4e-a368-f7d2d9732b86</t>
  </si>
  <si>
    <t>2023-04-27</t>
  </si>
  <si>
    <t>7788369</t>
  </si>
  <si>
    <t>4076.00</t>
  </si>
  <si>
    <t>7581.36</t>
  </si>
  <si>
    <t>f4a5cc36-692a-4bce-9af5-5c2688083ebc</t>
  </si>
  <si>
    <t>0e5bc44c-98de-4bf6-8273-4d1c23d83f22</t>
  </si>
  <si>
    <t>2023-07-11</t>
  </si>
  <si>
    <t>33915241</t>
  </si>
  <si>
    <t>4895.00</t>
  </si>
  <si>
    <t>3964.95</t>
  </si>
  <si>
    <t>bdce29ef-6746-40eb-8b27-9c29a274c0d7</t>
  </si>
  <si>
    <t>47e77e2b-6b29-4a13-a37c-3644c9345ce7</t>
  </si>
  <si>
    <t>17737470</t>
  </si>
  <si>
    <t>3553.00</t>
  </si>
  <si>
    <t>9593.1</t>
  </si>
  <si>
    <t>47534952-c9c5-4ef1-a76f-8a76c74f11cd</t>
  </si>
  <si>
    <t>f367dbe2-40e3-469f-b9b6-6d71951a0518</t>
  </si>
  <si>
    <t>37293963</t>
  </si>
  <si>
    <t>3727.00</t>
  </si>
  <si>
    <t>12522.72</t>
  </si>
  <si>
    <t>9177b6d4-5f2e-4167-b13e-ceb14ad12b4c</t>
  </si>
  <si>
    <t>88653e42-cefe-43ec-a918-4b9f501049e2</t>
  </si>
  <si>
    <t>56462296</t>
  </si>
  <si>
    <t>9198.00</t>
  </si>
  <si>
    <t>25662.42</t>
  </si>
  <si>
    <t>1f9078d5-2835-4cdb-a347-b24fa0f9c074</t>
  </si>
  <si>
    <t>b550f221-72e5-4360-a3ae-b12e7d4fbfff</t>
  </si>
  <si>
    <t>87139594</t>
  </si>
  <si>
    <t>7098.00</t>
  </si>
  <si>
    <t>19803.42</t>
  </si>
  <si>
    <t>66b62087-61a5-4fdd-9eda-4209b270af55</t>
  </si>
  <si>
    <t>2b66b1c0-5fdd-4329-ac74-9cf41f7550bc</t>
  </si>
  <si>
    <t>40473635</t>
  </si>
  <si>
    <t>533.00</t>
  </si>
  <si>
    <t>959.4</t>
  </si>
  <si>
    <t>8f42cebe-23b8-40f3-b7cb-1a27974fdedc</t>
  </si>
  <si>
    <t>b4ca0142-3b23-4fd8-8d20-f686854df9b6</t>
  </si>
  <si>
    <t>2023-08-27</t>
  </si>
  <si>
    <t>49505061</t>
  </si>
  <si>
    <t>8109.00</t>
  </si>
  <si>
    <t>6730.47</t>
  </si>
  <si>
    <t>a1d20ebc-5aa3-492a-8c88-b9d8ab12fb53</t>
  </si>
  <si>
    <t>07d5e121-623a-45ae-ba31-a27cced4dd7c</t>
  </si>
  <si>
    <t>9800069</t>
  </si>
  <si>
    <t>6589.00</t>
  </si>
  <si>
    <t>5864.21</t>
  </si>
  <si>
    <t>37cf8025-6a44-4a90-be0a-5a5679009c61</t>
  </si>
  <si>
    <t>1932263c-4eec-45b0-94c3-0b503d0daad0</t>
  </si>
  <si>
    <t>2023-06-10</t>
  </si>
  <si>
    <t>94750867</t>
  </si>
  <si>
    <t>9526.00</t>
  </si>
  <si>
    <t>8859.18</t>
  </si>
  <si>
    <t>8066b49b-b1d7-42a0-bd25-cefb7a0a02ba</t>
  </si>
  <si>
    <t>20f12d46-e775-427e-aec0-12f0d3100ac5</t>
  </si>
  <si>
    <t>16405004</t>
  </si>
  <si>
    <t>2171.00</t>
  </si>
  <si>
    <t>7294.56</t>
  </si>
  <si>
    <t>f55b2e5c-a6ed-4ac0-be22-e1b751783032</t>
  </si>
  <si>
    <t>e4bd7d57-03e3-425b-b00b-1433f5d61476</t>
  </si>
  <si>
    <t>51908195</t>
  </si>
  <si>
    <t>1079.00</t>
  </si>
  <si>
    <t>3042.78</t>
  </si>
  <si>
    <t>248f4a25-4cd8-4f24-b1a8-c9c60f6ab75b</t>
  </si>
  <si>
    <t>69f5a741-8686-4f29-9cb7-6bb9c0ff34b4</t>
  </si>
  <si>
    <t>80399643</t>
  </si>
  <si>
    <t>8671.00</t>
  </si>
  <si>
    <t>29828.24</t>
  </si>
  <si>
    <t>e32866d3-0d6a-48b0-beda-9ab9bec60ffe</t>
  </si>
  <si>
    <t>7ff5101d-3f1c-431b-86ff-76d11fe32b56</t>
  </si>
  <si>
    <t>11212836</t>
  </si>
  <si>
    <t>214.00</t>
  </si>
  <si>
    <t>744.72</t>
  </si>
  <si>
    <t>5afb9565-068a-4c38-b739-076a9f032cdc</t>
  </si>
  <si>
    <t>6e771359-677a-4eb7-84bf-c434481ce3f9</t>
  </si>
  <si>
    <t>37946302</t>
  </si>
  <si>
    <t>1992.00</t>
  </si>
  <si>
    <t>4900.32</t>
  </si>
  <si>
    <t>fe2d9d1d-e377-4008-a416-59c078b61daf</t>
  </si>
  <si>
    <t>ed4879e7-efd1-44ee-b287-c4407881307d</t>
  </si>
  <si>
    <t>2023-03-23</t>
  </si>
  <si>
    <t>88713267</t>
  </si>
  <si>
    <t>2101.00</t>
  </si>
  <si>
    <t>7731.68</t>
  </si>
  <si>
    <t>fa999f9b-86de-4365-98a2-30de02969326</t>
  </si>
  <si>
    <t>e30d04fd-b58c-4e9f-aa0b-20400ef05b6f</t>
  </si>
  <si>
    <t>2023-05-01</t>
  </si>
  <si>
    <t>71331263</t>
  </si>
  <si>
    <t>9126.00</t>
  </si>
  <si>
    <t>17156.88</t>
  </si>
  <si>
    <t>14d4dad6-ddfa-4808-afd8-643211035083</t>
  </si>
  <si>
    <t>33d4a096-5b78-41ea-8634-3347daa6b26a</t>
  </si>
  <si>
    <t>2023-11-17</t>
  </si>
  <si>
    <t>76493805</t>
  </si>
  <si>
    <t>2202.00</t>
  </si>
  <si>
    <t>6011.46</t>
  </si>
  <si>
    <t>ecb3d561-bdf0-4015-b305-ee95afb120f4</t>
  </si>
  <si>
    <t>cc869dea-38a7-4c54-a6b1-caba3fccb2c1</t>
  </si>
  <si>
    <t>86279208</t>
  </si>
  <si>
    <t>1019.00</t>
  </si>
  <si>
    <t>2812.44</t>
  </si>
  <si>
    <t>5c7cbc62-01a4-47a1-a526-4961ab4414ae</t>
  </si>
  <si>
    <t>2fb01074-2532-4fd3-89f3-5bf84d03cbdd</t>
  </si>
  <si>
    <t>2023-08-09</t>
  </si>
  <si>
    <t>46977960</t>
  </si>
  <si>
    <t>9802.00</t>
  </si>
  <si>
    <t>27641.64</t>
  </si>
  <si>
    <t>00f520f4-9ef1-4846-9dbc-24fd0a8aa1e4</t>
  </si>
  <si>
    <t>8b4eb003-401a-4e8a-bba0-fd458d3ac4b9</t>
  </si>
  <si>
    <t>2023-10-09</t>
  </si>
  <si>
    <t>58314883</t>
  </si>
  <si>
    <t>9157.00</t>
  </si>
  <si>
    <t>21976.8</t>
  </si>
  <si>
    <t>a3ef802e-df86-43ce-8534-32cdffeb5d5f</t>
  </si>
  <si>
    <t>dd3b8d93-3b8d-4d5b-ae66-5ecb06f9f4e6</t>
  </si>
  <si>
    <t>35438649</t>
  </si>
  <si>
    <t>973.00</t>
  </si>
  <si>
    <t>885.43</t>
  </si>
  <si>
    <t>e695f8ba-ba23-48fe-8ae3-02f3b31e9be8</t>
  </si>
  <si>
    <t>ecdd001e-6ad8-464d-b8c5-ee78d214f218</t>
  </si>
  <si>
    <t>46553140</t>
  </si>
  <si>
    <t>9166.00</t>
  </si>
  <si>
    <t>32997.6</t>
  </si>
  <si>
    <t>92a651d7-c069-4542-a403-97213a082921</t>
  </si>
  <si>
    <t>2826ef27-f190-4b53-b489-f5c7e22f6e82</t>
  </si>
  <si>
    <t>2023-10-12</t>
  </si>
  <si>
    <t>43136827</t>
  </si>
  <si>
    <t>1027.00</t>
  </si>
  <si>
    <t>3327.48</t>
  </si>
  <si>
    <t>6f1bdd07-1aff-41ae-b0f2-c48549b564fb</t>
  </si>
  <si>
    <t>20fa5cd3-8f5a-4ade-821d-3ead3e4c1362</t>
  </si>
  <si>
    <t>2023-10-04</t>
  </si>
  <si>
    <t>53673480</t>
  </si>
  <si>
    <t>4080.00</t>
  </si>
  <si>
    <t>15340.8</t>
  </si>
  <si>
    <t>62565a95-5487-45c3-b762-6f4975fd3537</t>
  </si>
  <si>
    <t>ae63ad3a-94d7-4681-9551-1e14e18d99ce</t>
  </si>
  <si>
    <t>56197716</t>
  </si>
  <si>
    <t>7727.00</t>
  </si>
  <si>
    <t>19008.42</t>
  </si>
  <si>
    <t>a5e3a719-6bf5-4dfd-94a8-762b2b12c92c</t>
  </si>
  <si>
    <t>8625dcb0-3f79-4d31-beb7-78d62b021118</t>
  </si>
  <si>
    <t>2023-01-23</t>
  </si>
  <si>
    <t>21844065</t>
  </si>
  <si>
    <t>6801.00</t>
  </si>
  <si>
    <t>22579.32</t>
  </si>
  <si>
    <t>25e4979d-6f6d-4f79-affe-2554e5aef699</t>
  </si>
  <si>
    <t>cc713ba6-4ca4-4e01-8621-8f7ffcd4fb19</t>
  </si>
  <si>
    <t>63092066</t>
  </si>
  <si>
    <t>3305.00</t>
  </si>
  <si>
    <t>12162.4</t>
  </si>
  <si>
    <t>25c29b6a-b575-4c6e-aee8-4bcb7281b8a9</t>
  </si>
  <si>
    <t>b57a5c03-cb85-4da6-9b01-98ffde21c855</t>
  </si>
  <si>
    <t>65660478</t>
  </si>
  <si>
    <t>8096.00</t>
  </si>
  <si>
    <t>22587.84</t>
  </si>
  <si>
    <t>35783f66-2114-42d6-90ea-1324862f78e1</t>
  </si>
  <si>
    <t>75fc1b10-b8d1-4539-8562-8912bdf2b5a1</t>
  </si>
  <si>
    <t>2023-05-16</t>
  </si>
  <si>
    <t>99010294</t>
  </si>
  <si>
    <t>3693.00</t>
  </si>
  <si>
    <t>13294.8</t>
  </si>
  <si>
    <t>596305b3-71b2-41e4-afd3-b9f2e90f79f8</t>
  </si>
  <si>
    <t>33251c76-d8ef-45c9-a7a2-d2d0ca3c4050</t>
  </si>
  <si>
    <t>83256288</t>
  </si>
  <si>
    <t>2884.00</t>
  </si>
  <si>
    <t>7873.32</t>
  </si>
  <si>
    <t>6d62e40c-638d-421a-bbc5-9e92ca1209ad</t>
  </si>
  <si>
    <t>618a4763-2af5-45a3-a97b-85380ff73f25</t>
  </si>
  <si>
    <t>2023-05-22</t>
  </si>
  <si>
    <t>47314290</t>
  </si>
  <si>
    <t>4890.00</t>
  </si>
  <si>
    <t>12909.6</t>
  </si>
  <si>
    <t>bad3116b-63b8-4897-bdf0-fe6bce8d75f2</t>
  </si>
  <si>
    <t>6282c33d-3665-46a5-a34d-a412816a5ea8</t>
  </si>
  <si>
    <t>2023-01-06</t>
  </si>
  <si>
    <t>33200743</t>
  </si>
  <si>
    <t>3779.00</t>
  </si>
  <si>
    <t>9976.56</t>
  </si>
  <si>
    <t>707421d4-3239-404b-8bab-5b51385c5fdc</t>
  </si>
  <si>
    <t>1a608f0d-7e41-42ad-86b0-915a8880f9fd</t>
  </si>
  <si>
    <t>48067928</t>
  </si>
  <si>
    <t>8248.00</t>
  </si>
  <si>
    <t>20537.52</t>
  </si>
  <si>
    <t>b5c25d42-9626-48c4-b44a-f454f0a61c5e</t>
  </si>
  <si>
    <t>88662aba-1601-4cc6-9b16-0641207417e7</t>
  </si>
  <si>
    <t>2086514</t>
  </si>
  <si>
    <t>5018.16</t>
  </si>
  <si>
    <t>0884fd16-636a-4f8c-a7e3-f52c0cbf404d</t>
  </si>
  <si>
    <t>e4d08ebe-d335-414c-a62c-e6a302fbad7c</t>
  </si>
  <si>
    <t>50783465</t>
  </si>
  <si>
    <t>6164.00</t>
  </si>
  <si>
    <t>20217.92</t>
  </si>
  <si>
    <t>defa7864-15ac-45c3-a217-cf253be95767</t>
  </si>
  <si>
    <t>bf33551d-f629-4535-82b3-3be214ed05bd</t>
  </si>
  <si>
    <t>6772314</t>
  </si>
  <si>
    <t>406.00</t>
  </si>
  <si>
    <t>1380.4</t>
  </si>
  <si>
    <t>be3feafd-0e96-4d9b-9d15-8e442fcf3b87</t>
  </si>
  <si>
    <t>65578e91-bee5-464d-be37-355efbdc678a</t>
  </si>
  <si>
    <t>2023-01-05</t>
  </si>
  <si>
    <t>88183862</t>
  </si>
  <si>
    <t>2170.00</t>
  </si>
  <si>
    <t>3949.4</t>
  </si>
  <si>
    <t>3baa17f9-2c62-4ac3-ad70-27cfa358cb1d</t>
  </si>
  <si>
    <t>fc145cfe-469a-4289-ac91-c01e734c5192</t>
  </si>
  <si>
    <t>54390546</t>
  </si>
  <si>
    <t>8513.00</t>
  </si>
  <si>
    <t>30646.8</t>
  </si>
  <si>
    <t>162d5c72-9ccd-4e1f-8c2a-bdaa9c5c11eb</t>
  </si>
  <si>
    <t>a96e2bf4-5865-43b8-b915-486569967b5c</t>
  </si>
  <si>
    <t>2023-10-10</t>
  </si>
  <si>
    <t>19921709</t>
  </si>
  <si>
    <t>2490.00</t>
  </si>
  <si>
    <t>2166.3</t>
  </si>
  <si>
    <t>c061c99b-831a-452a-9e6c-8762b475e15e</t>
  </si>
  <si>
    <t>139e5ca2-b9e7-4780-821c-f26265739938</t>
  </si>
  <si>
    <t>2023-03-16</t>
  </si>
  <si>
    <t>75462086</t>
  </si>
  <si>
    <t>7027.00</t>
  </si>
  <si>
    <t>12367.52</t>
  </si>
  <si>
    <t>e2091f49-e0a1-4d2b-857c-799848d002be</t>
  </si>
  <si>
    <t>96062930-2860-4311-8315-d334e47c98ea</t>
  </si>
  <si>
    <t>2023-11-05</t>
  </si>
  <si>
    <t>22634986</t>
  </si>
  <si>
    <t>9586.00</t>
  </si>
  <si>
    <t>7764.66</t>
  </si>
  <si>
    <t>0dcf035b-7552-46e8-a953-a1155a62ddc4</t>
  </si>
  <si>
    <t>dba620f1-35bb-4db0-bda3-14883e1fa8ac</t>
  </si>
  <si>
    <t>2023-08-08</t>
  </si>
  <si>
    <t>90030956</t>
  </si>
  <si>
    <t>6725.00</t>
  </si>
  <si>
    <t>10760</t>
  </si>
  <si>
    <t>aa66b464-8420-48d9-b261-d0d2a1c2d9bf</t>
  </si>
  <si>
    <t>0dbcad25-daac-43a3-82f8-9ef40b9bcb7e</t>
  </si>
  <si>
    <t>47944855</t>
  </si>
  <si>
    <t>6748.00</t>
  </si>
  <si>
    <t>12011.44</t>
  </si>
  <si>
    <t>8c141838-f468-40a2-a604-e5aff4db1c1e</t>
  </si>
  <si>
    <t>b17078ee-1129-40f2-8f21-ae6a82e2f424</t>
  </si>
  <si>
    <t>52178115</t>
  </si>
  <si>
    <t>4639.00</t>
  </si>
  <si>
    <t>7607.96</t>
  </si>
  <si>
    <t>6e3c18c9-ef1f-40a3-bc02-ba67ee04bdde</t>
  </si>
  <si>
    <t>b5cbb690-735b-4a80-bfbd-aeed723dc8f5</t>
  </si>
  <si>
    <t>2023-12-28</t>
  </si>
  <si>
    <t>22563842</t>
  </si>
  <si>
    <t>7976.00</t>
  </si>
  <si>
    <t>28075.52</t>
  </si>
  <si>
    <t>413770e2-7d7d-41f5-b460-d20d94b9cdb5</t>
  </si>
  <si>
    <t>a9584453-c2ea-4172-a5a1-5243c7281f15</t>
  </si>
  <si>
    <t>55480819</t>
  </si>
  <si>
    <t>7599.00</t>
  </si>
  <si>
    <t>26140.56</t>
  </si>
  <si>
    <t>56525ce0-3725-4d0c-b9c4-5c38b440ffe0</t>
  </si>
  <si>
    <t>e15093b0-a07a-4b89-998d-f20b226dded0</t>
  </si>
  <si>
    <t>61967113</t>
  </si>
  <si>
    <t>7780.00</t>
  </si>
  <si>
    <t>6924.2</t>
  </si>
  <si>
    <t>0d742256-0b36-43cd-8acf-eba4441030ae</t>
  </si>
  <si>
    <t>992e7dea-0374-4263-8a06-09aa827acd0d</t>
  </si>
  <si>
    <t>2023-02-21</t>
  </si>
  <si>
    <t>72626801</t>
  </si>
  <si>
    <t>9155.00</t>
  </si>
  <si>
    <t>8605.7</t>
  </si>
  <si>
    <t>4a30f7cd-00fd-4c23-998c-a3b429b10823</t>
  </si>
  <si>
    <t>5ba48aa0-aab6-441b-99e8-484c25d203e3</t>
  </si>
  <si>
    <t>2023-06-08</t>
  </si>
  <si>
    <t>56442199</t>
  </si>
  <si>
    <t>2179.00</t>
  </si>
  <si>
    <t>3965.78</t>
  </si>
  <si>
    <t>104dff66-23f1-467e-81d3-4690a795ac54</t>
  </si>
  <si>
    <t>4c1f59df-f6b4-460b-9466-c7725df5672b</t>
  </si>
  <si>
    <t>78593800</t>
  </si>
  <si>
    <t>6937.00</t>
  </si>
  <si>
    <t>13180.3</t>
  </si>
  <si>
    <t>38dfe76b-ae35-4290-ad80-ab08c963d148</t>
  </si>
  <si>
    <t>40e5e8fa-b033-4368-a443-a7378072b635</t>
  </si>
  <si>
    <t>2023-11-08</t>
  </si>
  <si>
    <t>37862886</t>
  </si>
  <si>
    <t>5707.00</t>
  </si>
  <si>
    <t>4622.67</t>
  </si>
  <si>
    <t>8ec9ea98-6581-4934-9bcf-b1c4f87e3560</t>
  </si>
  <si>
    <t>ce91e0c9-7abd-4241-85c2-b1052234c40f</t>
  </si>
  <si>
    <t>3483404</t>
  </si>
  <si>
    <t>3731.00</t>
  </si>
  <si>
    <t>3059.42</t>
  </si>
  <si>
    <t>315e8080-7425-44e9-b891-aef5ebe0572c</t>
  </si>
  <si>
    <t>dafd518d-d55f-4e0e-af6b-e029bbef627f</t>
  </si>
  <si>
    <t>2023-12-10</t>
  </si>
  <si>
    <t>85462038</t>
  </si>
  <si>
    <t>9216.00</t>
  </si>
  <si>
    <t>17326.08</t>
  </si>
  <si>
    <t>9b3a0c89-1a32-4148-9bba-c83856e9b78d</t>
  </si>
  <si>
    <t>56e16c2b-659b-4dcb-9bca-e27d331978eb</t>
  </si>
  <si>
    <t>94374001</t>
  </si>
  <si>
    <t>334.00</t>
  </si>
  <si>
    <t>581.16</t>
  </si>
  <si>
    <t>51abf5e5-cb77-4e24-95eb-3a3de2014a45</t>
  </si>
  <si>
    <t>23aa9e67-70bc-4ec1-8d29-d77a793910e6</t>
  </si>
  <si>
    <t>66802150</t>
  </si>
  <si>
    <t>9224.00</t>
  </si>
  <si>
    <t>16049.76</t>
  </si>
  <si>
    <t>e4bacd78-74ab-49fc-8930-d17952ab793f</t>
  </si>
  <si>
    <t>f0041e32-4bc0-4de3-9197-b56179b68b95</t>
  </si>
  <si>
    <t>63468595</t>
  </si>
  <si>
    <t>721.00</t>
  </si>
  <si>
    <t>1312.22</t>
  </si>
  <si>
    <t>85a1282a-0761-485b-8168-705a533c9a31</t>
  </si>
  <si>
    <t>54f5edf7-e9bf-49f4-b373-9067cf085288</t>
  </si>
  <si>
    <t>21530661</t>
  </si>
  <si>
    <t>7652.00</t>
  </si>
  <si>
    <t>6198.12</t>
  </si>
  <si>
    <t>14827a89-5e63-44c6-b0ac-79dd0b5aafef</t>
  </si>
  <si>
    <t>9a642c24-a34a-4c3e-9a68-fa2a59581c94</t>
  </si>
  <si>
    <t>2023-03-01</t>
  </si>
  <si>
    <t>45383991</t>
  </si>
  <si>
    <t>2157.00</t>
  </si>
  <si>
    <t>5565.06</t>
  </si>
  <si>
    <t>5882e3bb-8646-46c1-9eb4-e6c435a7c6ed</t>
  </si>
  <si>
    <t>66b9b21b-9429-4726-a557-338d6175f16a</t>
  </si>
  <si>
    <t>2023-12-03</t>
  </si>
  <si>
    <t>90733420</t>
  </si>
  <si>
    <t>2017.00</t>
  </si>
  <si>
    <t>1653.94</t>
  </si>
  <si>
    <t>4053b188-339d-48f5-9658-b1b33012ae1c</t>
  </si>
  <si>
    <t>4c43745b-8063-4ef2-a534-28bbb20ed719</t>
  </si>
  <si>
    <t>2023-06-04</t>
  </si>
  <si>
    <t>27301364</t>
  </si>
  <si>
    <t>3362.00</t>
  </si>
  <si>
    <t>2723.22</t>
  </si>
  <si>
    <t>4d236555-bc50-44ac-baa1-72acac33f644</t>
  </si>
  <si>
    <t>9090d244-c1d4-4db0-909b-f39cacb1691c</t>
  </si>
  <si>
    <t>2023-05-05</t>
  </si>
  <si>
    <t>66029441</t>
  </si>
  <si>
    <t>2725.00</t>
  </si>
  <si>
    <t>7602.75</t>
  </si>
  <si>
    <t>6279d944-dc28-47c6-8453-98134fee7144</t>
  </si>
  <si>
    <t>6e6b3eba-3055-484e-bc38-bfd6d7e23908</t>
  </si>
  <si>
    <t>9347618</t>
  </si>
  <si>
    <t>7868.00</t>
  </si>
  <si>
    <t>20299.44</t>
  </si>
  <si>
    <t>df39ccaa-580c-49fc-bb69-e69041300879</t>
  </si>
  <si>
    <t>2adb6a67-83ad-4758-83e1-592e3765002d</t>
  </si>
  <si>
    <t>95175393</t>
  </si>
  <si>
    <t>316.00</t>
  </si>
  <si>
    <t>1011.2</t>
  </si>
  <si>
    <t>4e49df56-0b64-4acd-bd6e-2667b6651d6e</t>
  </si>
  <si>
    <t>98ecdbc6-cec7-490b-a3e8-6d638278e1e5</t>
  </si>
  <si>
    <t>90157349</t>
  </si>
  <si>
    <t>1173.00</t>
  </si>
  <si>
    <t>3847.44</t>
  </si>
  <si>
    <t>025b7c5f-1284-49d7-8d4e-2753ef26a5b7</t>
  </si>
  <si>
    <t>881f93bd-e669-46b6-81af-b76b84733c88</t>
  </si>
  <si>
    <t>41019634</t>
  </si>
  <si>
    <t>9590.00</t>
  </si>
  <si>
    <t>9014.6</t>
  </si>
  <si>
    <t>702dc88a-b97f-43bb-becc-040c75ff93f0</t>
  </si>
  <si>
    <t>d610de6d-819d-49b4-a949-2308c710fab3</t>
  </si>
  <si>
    <t>73786870</t>
  </si>
  <si>
    <t>1073.00</t>
  </si>
  <si>
    <t>965.7</t>
  </si>
  <si>
    <t>6980b561-cf1a-4cc1-aaca-38110c26e5d9</t>
  </si>
  <si>
    <t>eac503ff-79d1-4233-a5c0-7ecfd38a1bdb</t>
  </si>
  <si>
    <t>22087164</t>
  </si>
  <si>
    <t>17212.62</t>
  </si>
  <si>
    <t>70aaf525-75e4-47dd-be5b-637dfa98c115</t>
  </si>
  <si>
    <t>4d390362-6ef4-46b4-824c-222f577aa515</t>
  </si>
  <si>
    <t>52199578</t>
  </si>
  <si>
    <t>8693.00</t>
  </si>
  <si>
    <t>23731.89</t>
  </si>
  <si>
    <t>3dbba3af-14db-4d22-95ea-e9d21e3d59d0</t>
  </si>
  <si>
    <t>86d77094-a689-4303-a807-092d74ca0c56</t>
  </si>
  <si>
    <t>93760249</t>
  </si>
  <si>
    <t>8134.00</t>
  </si>
  <si>
    <t>29933.12</t>
  </si>
  <si>
    <t>275f275c-c3f3-474d-9386-1b58194665d3</t>
  </si>
  <si>
    <t>31bf3b36-bac1-44b5-8a19-e5a80d5a2ad3</t>
  </si>
  <si>
    <t>2023-06-17</t>
  </si>
  <si>
    <t>48469074</t>
  </si>
  <si>
    <t>3436.00</t>
  </si>
  <si>
    <t>11957.28</t>
  </si>
  <si>
    <t>36a5be06-eb52-4e01-a25e-651269fcbef0</t>
  </si>
  <si>
    <t>b0fde8c9-7575-417c-81ca-37f5f7de1a61</t>
  </si>
  <si>
    <t>17478571</t>
  </si>
  <si>
    <t>5258.00</t>
  </si>
  <si>
    <t>12776.94</t>
  </si>
  <si>
    <t>d16903f2-13bf-49fe-9cdd-9f6c70cdc4a8</t>
  </si>
  <si>
    <t>98e16bc0-3385-49c7-84ad-e7b7119b0fb4</t>
  </si>
  <si>
    <t>91436757</t>
  </si>
  <si>
    <t>8439.00</t>
  </si>
  <si>
    <t>7257.54</t>
  </si>
  <si>
    <t>e2f88051-c13c-4688-8f1b-5be16d4ba69c</t>
  </si>
  <si>
    <t>fa9f941a-41a0-44be-9b0d-ff111a6c3c25</t>
  </si>
  <si>
    <t>2023-07-28</t>
  </si>
  <si>
    <t>72751497</t>
  </si>
  <si>
    <t>3946.00</t>
  </si>
  <si>
    <t>6313.6</t>
  </si>
  <si>
    <t>f57b8a92-0a12-43b3-a4fc-0dbad44f85e7</t>
  </si>
  <si>
    <t>d35169bc-0044-4690-b17a-7c84cb3d7ee7</t>
  </si>
  <si>
    <t>39284129</t>
  </si>
  <si>
    <t>3412.00</t>
  </si>
  <si>
    <t>8700.6</t>
  </si>
  <si>
    <t>38553ac8-7d71-4591-bfee-2fc72e2dffdf</t>
  </si>
  <si>
    <t>e55b88ff-f086-4962-b771-f867dfa2e52b</t>
  </si>
  <si>
    <t>8987877</t>
  </si>
  <si>
    <t>1509.00</t>
  </si>
  <si>
    <t>2625.66</t>
  </si>
  <si>
    <t>476c4878-deff-4d7a-9728-525620ca35ab</t>
  </si>
  <si>
    <t>e83f3278-2c70-4901-9e3f-4f152f5c5cbe</t>
  </si>
  <si>
    <t>2023-09-22</t>
  </si>
  <si>
    <t>42065463</t>
  </si>
  <si>
    <t>8976.00</t>
  </si>
  <si>
    <t>15259.2</t>
  </si>
  <si>
    <t>fea2a33a-51d1-4bcd-9a23-754bef38d426</t>
  </si>
  <si>
    <t>9c017e5d-5c41-4fb5-a94a-29d3f73c3dce</t>
  </si>
  <si>
    <t>36108</t>
  </si>
  <si>
    <t>4315.00</t>
  </si>
  <si>
    <t>3710.9</t>
  </si>
  <si>
    <t>e64ddd91-8e9b-485e-9b77-0deb6f51ea78</t>
  </si>
  <si>
    <t>acac00dc-024e-4609-8486-4d26cfd09276</t>
  </si>
  <si>
    <t>67931408</t>
  </si>
  <si>
    <t>579.00</t>
  </si>
  <si>
    <t>463.2</t>
  </si>
  <si>
    <t>c9fe6036-8a83-4fc8-9c2e-55624916e844</t>
  </si>
  <si>
    <t>054961d6-0438-43d4-a81b-3fe3fda48455</t>
  </si>
  <si>
    <t>27901045</t>
  </si>
  <si>
    <t>6333.00</t>
  </si>
  <si>
    <t>12032.7</t>
  </si>
  <si>
    <t>c707e77b-4bf0-4e53-b608-8c973380dcfc</t>
  </si>
  <si>
    <t>2adfd824-edae-4c39-aa9e-062a9b89bf0d</t>
  </si>
  <si>
    <t>2023-03-02</t>
  </si>
  <si>
    <t>27233382</t>
  </si>
  <si>
    <t>4528.00</t>
  </si>
  <si>
    <t>17025.28</t>
  </si>
  <si>
    <t>764ab510-9acb-4588-8397-d4127118bb71</t>
  </si>
  <si>
    <t>f65a1a2a-4f76-4aac-9ec2-2e0cd4cd82fa</t>
  </si>
  <si>
    <t>2023-02-26</t>
  </si>
  <si>
    <t>775212</t>
  </si>
  <si>
    <t>2209.00</t>
  </si>
  <si>
    <t>1988.1</t>
  </si>
  <si>
    <t>45c596d4-42d0-4ba3-a265-2c9e89421c6d</t>
  </si>
  <si>
    <t>d2bddb3b-649e-4503-bc73-7aead273dcbe</t>
  </si>
  <si>
    <t>9003644</t>
  </si>
  <si>
    <t>3845.00</t>
  </si>
  <si>
    <t>14149.6</t>
  </si>
  <si>
    <t>9d683a9e-1e65-4ac1-843d-2c473b56735e</t>
  </si>
  <si>
    <t>dbb59fc2-5cff-496e-bd03-c81f7ff35029</t>
  </si>
  <si>
    <t>7418211</t>
  </si>
  <si>
    <t>803.00</t>
  </si>
  <si>
    <t>2119.92</t>
  </si>
  <si>
    <t>2c2df3c2-1951-4f87-b63f-83c6c89309e9</t>
  </si>
  <si>
    <t>6e935faf-9502-41d5-967a-d0895acecdbf</t>
  </si>
  <si>
    <t>55838993</t>
  </si>
  <si>
    <t>2767.00</t>
  </si>
  <si>
    <t>7138.86</t>
  </si>
  <si>
    <t>37d316a4-3faf-4217-aa27-241fbb9e5a02</t>
  </si>
  <si>
    <t>0654f465-b311-49c4-9d86-fd12c8359b91</t>
  </si>
  <si>
    <t>38848322</t>
  </si>
  <si>
    <t>7549.00</t>
  </si>
  <si>
    <t>12531.34</t>
  </si>
  <si>
    <t>ff4533fe-bc6f-46ac-a139-d15d48d8b9ef</t>
  </si>
  <si>
    <t>98082cf3-03a7-49aa-ac14-af79c4a0c1cd</t>
  </si>
  <si>
    <t>2023-04-11</t>
  </si>
  <si>
    <t>25114669</t>
  </si>
  <si>
    <t>6080.00</t>
  </si>
  <si>
    <t>10822.4</t>
  </si>
  <si>
    <t>89181ba3-bdee-4231-81a6-009ea8dce886</t>
  </si>
  <si>
    <t>bd05bc2c-5a50-4a98-85c5-5e39881d0ee1</t>
  </si>
  <si>
    <t>84821560</t>
  </si>
  <si>
    <t>7793.00</t>
  </si>
  <si>
    <t>21508.68</t>
  </si>
  <si>
    <t>0cbdc014-dbed-442e-ada3-13e783e9973b</t>
  </si>
  <si>
    <t>624aadae-ebbc-41f6-9edf-f24b3567c813</t>
  </si>
  <si>
    <t>12068098</t>
  </si>
  <si>
    <t>4860.36</t>
  </si>
  <si>
    <t>45c190a8-a52b-40ce-a27b-585f1f2de275</t>
  </si>
  <si>
    <t>cbae0e93-2f39-4045-91bb-91c132620328</t>
  </si>
  <si>
    <t>2023-01-31</t>
  </si>
  <si>
    <t>49530001</t>
  </si>
  <si>
    <t>665.00</t>
  </si>
  <si>
    <t>1143.8</t>
  </si>
  <si>
    <t>908e0372-bcbe-4a42-b89d-3fda1e454241</t>
  </si>
  <si>
    <t>26b18865-a878-4876-bf0d-f2ca2dc6c2ac</t>
  </si>
  <si>
    <t>2023-02-24</t>
  </si>
  <si>
    <t>3511442</t>
  </si>
  <si>
    <t>4084.00</t>
  </si>
  <si>
    <t>10659.24</t>
  </si>
  <si>
    <t>b76fc5b2-acc5-42df-bac4-9efa5be12d09</t>
  </si>
  <si>
    <t>685e406b-8171-41eb-9766-c1439c9afcff</t>
  </si>
  <si>
    <t>2023-06-03</t>
  </si>
  <si>
    <t>70163445</t>
  </si>
  <si>
    <t>8941.00</t>
  </si>
  <si>
    <t>7152.8</t>
  </si>
  <si>
    <t>483c1a4e-a91d-42cd-8bf0-6f64b4178592</t>
  </si>
  <si>
    <t>e919b5aa-f0c9-4bea-a0a1-f43f9638a3c7</t>
  </si>
  <si>
    <t>99128159</t>
  </si>
  <si>
    <t>248.00</t>
  </si>
  <si>
    <t>203.36</t>
  </si>
  <si>
    <t>e6cd3595-d4f0-465d-bd68-17b638b80611</t>
  </si>
  <si>
    <t>00b425aa-e7eb-433c-ba08-79fbdc7843b3</t>
  </si>
  <si>
    <t>54501645</t>
  </si>
  <si>
    <t>35023.28</t>
  </si>
  <si>
    <t>4eb98768-84a5-41c3-9095-e4973d798f0b</t>
  </si>
  <si>
    <t>9abf3e69-e5bc-47ed-afa6-80100ddd49b7</t>
  </si>
  <si>
    <t>54027534</t>
  </si>
  <si>
    <t>1756.00</t>
  </si>
  <si>
    <t>6321.6</t>
  </si>
  <si>
    <t>5f89d54d-3bcd-4aec-93ca-8c05acb5959f</t>
  </si>
  <si>
    <t>a5f3aa63-a5cb-4d9f-a579-49170806989a</t>
  </si>
  <si>
    <t>31658126</t>
  </si>
  <si>
    <t>9548.00</t>
  </si>
  <si>
    <t>16995.44</t>
  </si>
  <si>
    <t>9501e917-496d-427b-baf2-f402a0e624f1</t>
  </si>
  <si>
    <t>15d0db43-80a1-4176-a2b3-4047ee4b0498</t>
  </si>
  <si>
    <t>29381487</t>
  </si>
  <si>
    <t>7716.85</t>
  </si>
  <si>
    <t>03f7ba05-cf4b-4315-a325-4d812bdfb727</t>
  </si>
  <si>
    <t>a20847d8-54ed-4b3b-8f70-70e66b58996c</t>
  </si>
  <si>
    <t>60537997</t>
  </si>
  <si>
    <t>590.00</t>
  </si>
  <si>
    <t>1026.6</t>
  </si>
  <si>
    <t>5df2e073-53f0-4099-813d-d49a8d99743c</t>
  </si>
  <si>
    <t>d38b8f29-ed0c-4245-a053-6c6cea8713d2</t>
  </si>
  <si>
    <t>37817350</t>
  </si>
  <si>
    <t>1093.00</t>
  </si>
  <si>
    <t>4109.68</t>
  </si>
  <si>
    <t>cfdef303-0679-4b47-a283-453695decd6e</t>
  </si>
  <si>
    <t>0fbc0318-b6e4-416e-b066-8cc99e7f0271</t>
  </si>
  <si>
    <t>2023-12-09</t>
  </si>
  <si>
    <t>95599069</t>
  </si>
  <si>
    <t>2586.00</t>
  </si>
  <si>
    <t>2379.12</t>
  </si>
  <si>
    <t>27be0381-6544-497d-a078-9f97213c121c</t>
  </si>
  <si>
    <t>50ed6af2-235f-4be1-b8b5-5fb556d1079c</t>
  </si>
  <si>
    <t>2023-01-08</t>
  </si>
  <si>
    <t>15665324</t>
  </si>
  <si>
    <t>829.00</t>
  </si>
  <si>
    <t>688.07</t>
  </si>
  <si>
    <t>fdc12930-82ae-452f-ad40-76bcf9cb2ee8</t>
  </si>
  <si>
    <t>bf3cfe56-a832-49e9-bae4-6529fa9fcece</t>
  </si>
  <si>
    <t>56684339</t>
  </si>
  <si>
    <t>1655.00</t>
  </si>
  <si>
    <t>6090.4</t>
  </si>
  <si>
    <t>34dd7624-c3d9-43b0-a2b5-6be11392a255</t>
  </si>
  <si>
    <t>7b33241e-fa22-45d7-bc6d-8ae1463e4336</t>
  </si>
  <si>
    <t>2023-05-18</t>
  </si>
  <si>
    <t>16323056</t>
  </si>
  <si>
    <t>3268.00</t>
  </si>
  <si>
    <t>5620.96</t>
  </si>
  <si>
    <t>7f2a2e65-c659-4f7f-aa45-5fc7c80cb483</t>
  </si>
  <si>
    <t>4502d7f8-54a1-496c-a9ab-fb0d9be57401</t>
  </si>
  <si>
    <t>61198906</t>
  </si>
  <si>
    <t>2068.00</t>
  </si>
  <si>
    <t>6783.04</t>
  </si>
  <si>
    <t>f8247e70-b219-4ff3-846a-c0d691ca9f9e</t>
  </si>
  <si>
    <t>756aa13d-13f1-484a-a55d-c720e5540022</t>
  </si>
  <si>
    <t>2023-12-06</t>
  </si>
  <si>
    <t>52257650</t>
  </si>
  <si>
    <t>9885.00</t>
  </si>
  <si>
    <t>37167.6</t>
  </si>
  <si>
    <t>21d32e24-bb89-4746-bc3d-a91136a52df9</t>
  </si>
  <si>
    <t>e5e6190b-28da-4b89-8130-8a09cddd03bb</t>
  </si>
  <si>
    <t>44562724</t>
  </si>
  <si>
    <t>8806.00</t>
  </si>
  <si>
    <t>22983.66</t>
  </si>
  <si>
    <t>62759469-c28d-4ad5-bbd3-147dd0f0c75d</t>
  </si>
  <si>
    <t>8f15c995-424a-4898-832e-9e1e1b908d6d</t>
  </si>
  <si>
    <t>72685518</t>
  </si>
  <si>
    <t>827.00</t>
  </si>
  <si>
    <t>1455.52</t>
  </si>
  <si>
    <t>21ee302e-974d-4d49-9bc6-98825a7c831a</t>
  </si>
  <si>
    <t>72a2761a-9ba6-4e98-a791-40e0b6fece9a</t>
  </si>
  <si>
    <t>2553146</t>
  </si>
  <si>
    <t>7434.00</t>
  </si>
  <si>
    <t>13827.24</t>
  </si>
  <si>
    <t>eaf94919-e69b-4971-bf9b-76efa1057256</t>
  </si>
  <si>
    <t>9b83a437-28b7-405b-abc2-ded76bd8e65f</t>
  </si>
  <si>
    <t>2023-05-07</t>
  </si>
  <si>
    <t>59017899</t>
  </si>
  <si>
    <t>5931.00</t>
  </si>
  <si>
    <t>16725.42</t>
  </si>
  <si>
    <t>06a8e22f-d57c-4f0d-9db3-466d1ba6cc61</t>
  </si>
  <si>
    <t>205bf9e7-c42b-43fa-ab4d-e9deec7b009c</t>
  </si>
  <si>
    <t>2023-10-26</t>
  </si>
  <si>
    <t>30771314</t>
  </si>
  <si>
    <t>9750.00</t>
  </si>
  <si>
    <t>8190</t>
  </si>
  <si>
    <t>7d3c279b-5bce-428b-989b-b03086c47b06</t>
  </si>
  <si>
    <t>f02dd043-d01a-4ef6-a829-4aabafaf2b68</t>
  </si>
  <si>
    <t>2023-03-07</t>
  </si>
  <si>
    <t>33935508</t>
  </si>
  <si>
    <t>9669.00</t>
  </si>
  <si>
    <t>32874.6</t>
  </si>
  <si>
    <t>f568c9c6-033c-4469-8f06-ea1874a26444</t>
  </si>
  <si>
    <t>95a37efe-1cc7-42b6-899d-5f9ec634effd</t>
  </si>
  <si>
    <t>2023-01-21</t>
  </si>
  <si>
    <t>44059057</t>
  </si>
  <si>
    <t>7513.00</t>
  </si>
  <si>
    <t>25844.72</t>
  </si>
  <si>
    <t>29bccee9-a71b-40ef-8e36-b82f3856be31</t>
  </si>
  <si>
    <t>2f9f5bf9-d6b6-45d0-9c87-284dc5fa8ac9</t>
  </si>
  <si>
    <t>26168272</t>
  </si>
  <si>
    <t>2983.00</t>
  </si>
  <si>
    <t>5309.74</t>
  </si>
  <si>
    <t>cf2a2198-7ea4-46f5-a10b-4aada92d6b05</t>
  </si>
  <si>
    <t>4b511edb-7b76-4615-b6b1-465dbf2b6442</t>
  </si>
  <si>
    <t>78505018</t>
  </si>
  <si>
    <t>9655.00</t>
  </si>
  <si>
    <t>16606.6</t>
  </si>
  <si>
    <t>8bc88bcf-7b1d-4049-bcc4-616df40d2a37</t>
  </si>
  <si>
    <t>af405e52-199a-4949-ba9d-82b8afbae6c3</t>
  </si>
  <si>
    <t>2023-04-23</t>
  </si>
  <si>
    <t>77038012</t>
  </si>
  <si>
    <t>768.00</t>
  </si>
  <si>
    <t>1320.96</t>
  </si>
  <si>
    <t>142a6c95-d908-4a42-b448-0761505e9c9b</t>
  </si>
  <si>
    <t>46b01630-4321-4bf4-acff-30a0c3ac232c</t>
  </si>
  <si>
    <t>61627994</t>
  </si>
  <si>
    <t>7277.00</t>
  </si>
  <si>
    <t>6840.38</t>
  </si>
  <si>
    <t>66dfeb1e-9ab3-4c27-a32f-8c5b425832c0</t>
  </si>
  <si>
    <t>5b0eec4b-a2a1-4a45-9c52-d51ec8fe0b2d</t>
  </si>
  <si>
    <t>49608090</t>
  </si>
  <si>
    <t>959.00</t>
  </si>
  <si>
    <t>911.05</t>
  </si>
  <si>
    <t>5100f186-d25a-4049-b0e9-be17b4134208</t>
  </si>
  <si>
    <t>cd43cfeb-8938-4b90-9341-45328252f723</t>
  </si>
  <si>
    <t>32927276</t>
  </si>
  <si>
    <t>4170.00</t>
  </si>
  <si>
    <t>15679.2</t>
  </si>
  <si>
    <t>f19b43da-6253-4fe3-8aae-b212c90ded29</t>
  </si>
  <si>
    <t>9b9a9bf5-0a78-491f-8211-550313218ef7</t>
  </si>
  <si>
    <t>30808775</t>
  </si>
  <si>
    <t>5370.00</t>
  </si>
  <si>
    <t>14176.8</t>
  </si>
  <si>
    <t>50ae2652-09cd-4bdf-b56a-f7370f2670d2</t>
  </si>
  <si>
    <t>f4105d94-c689-437b-b945-23fe03cb8f1e</t>
  </si>
  <si>
    <t>64759982</t>
  </si>
  <si>
    <t>7048.00</t>
  </si>
  <si>
    <t>11981.6</t>
  </si>
  <si>
    <t>3fe65f90-f631-481e-bf40-1e04b9f94ec6</t>
  </si>
  <si>
    <t>68795e63-1f74-4e70-a36b-3a5f23746ddd</t>
  </si>
  <si>
    <t>12907779</t>
  </si>
  <si>
    <t>8422.00</t>
  </si>
  <si>
    <t>21476.1</t>
  </si>
  <si>
    <t>ab1e6794-70f2-497a-9ceb-201357d9af8d</t>
  </si>
  <si>
    <t>7b38a089-fa4a-4dec-88a8-6e3a62937980</t>
  </si>
  <si>
    <t>46300560</t>
  </si>
  <si>
    <t>700.00</t>
  </si>
  <si>
    <t>2464</t>
  </si>
  <si>
    <t>39d5b552-a867-40f0-a8e6-a772b9cde60c</t>
  </si>
  <si>
    <t>a1c56342-5033-45a4-86ec-9ad0e2cbef40</t>
  </si>
  <si>
    <t>73990833</t>
  </si>
  <si>
    <t>5469.00</t>
  </si>
  <si>
    <t>20782.2</t>
  </si>
  <si>
    <t>298e9a79-abec-4c0b-981b-a30742965873</t>
  </si>
  <si>
    <t>b3f175d0-15c7-4820-a3f3-e5aed1de4fa8</t>
  </si>
  <si>
    <t>95324883</t>
  </si>
  <si>
    <t>692.00</t>
  </si>
  <si>
    <t>1785.36</t>
  </si>
  <si>
    <t>92d6ff73-5b3a-4595-8458-92c14e0e15d3</t>
  </si>
  <si>
    <t>bfdf8a9e-9446-4493-a4d6-ce54645cc176</t>
  </si>
  <si>
    <t>26914633</t>
  </si>
  <si>
    <t>902.00</t>
  </si>
  <si>
    <t>1443.2</t>
  </si>
  <si>
    <t>a1645f58-bb78-4b2d-8ee5-144d8a1d8b42</t>
  </si>
  <si>
    <t>3590a2e5-0c78-4f2f-b9a1-1816fc7aad95</t>
  </si>
  <si>
    <t>2023-11-29</t>
  </si>
  <si>
    <t>19562681</t>
  </si>
  <si>
    <t>4878.00</t>
  </si>
  <si>
    <t>17560.8</t>
  </si>
  <si>
    <t>7db931ce-05a0-4421-9a79-b46a26b61b06</t>
  </si>
  <si>
    <t>e70a26e9-eb6b-46ec-aa3a-5bf369946c6d</t>
  </si>
  <si>
    <t>71465562</t>
  </si>
  <si>
    <t>991.00</t>
  </si>
  <si>
    <t>3329.76</t>
  </si>
  <si>
    <t>3dd0c866-0649-4ef5-8fb2-de1ea0b976c2</t>
  </si>
  <si>
    <t>c83235cc-995d-467b-8c13-33ce07117e78</t>
  </si>
  <si>
    <t>2023-11-27</t>
  </si>
  <si>
    <t>56403756</t>
  </si>
  <si>
    <t>1441.00</t>
  </si>
  <si>
    <t>2449.7</t>
  </si>
  <si>
    <t>f20e8bda-39cc-4d88-832f-594d0b82b61c</t>
  </si>
  <si>
    <t>bb2c2c42-8f6d-4117-a1ea-a1fa663eab2b</t>
  </si>
  <si>
    <t>31506632</t>
  </si>
  <si>
    <t>9426.00</t>
  </si>
  <si>
    <t>33933.6</t>
  </si>
  <si>
    <t>d22a3a62-1109-4978-93a0-81a6a7647989</t>
  </si>
  <si>
    <t>679bcce2-681d-40de-8c15-514db40eb501</t>
  </si>
  <si>
    <t>2023-08-14</t>
  </si>
  <si>
    <t>96365106</t>
  </si>
  <si>
    <t>9183.00</t>
  </si>
  <si>
    <t>31222.2</t>
  </si>
  <si>
    <t>a9fa4ea6-f8db-4a4d-984d-3c020ff9d318</t>
  </si>
  <si>
    <t>d5562dab-f4a9-44e3-ba4f-4535e45d8903</t>
  </si>
  <si>
    <t>34134139</t>
  </si>
  <si>
    <t>3568.00</t>
  </si>
  <si>
    <t>10061.76</t>
  </si>
  <si>
    <t>ec071cf1-e476-48ec-a2c7-1d046c32faff</t>
  </si>
  <si>
    <t>be216476-0e05-46b9-8bdd-4b9dfc2cd5c7</t>
  </si>
  <si>
    <t>23965423</t>
  </si>
  <si>
    <t>9508.00</t>
  </si>
  <si>
    <t>7701.48</t>
  </si>
  <si>
    <t>245db6ca-6f6a-4196-b2ef-7dce376e22a6</t>
  </si>
  <si>
    <t>8adab689-e0dd-4541-b218-9a39d63a7486</t>
  </si>
  <si>
    <t>38702792</t>
  </si>
  <si>
    <t>9690.00</t>
  </si>
  <si>
    <t>35271.6</t>
  </si>
  <si>
    <t>a629d332-2d4b-45a4-8fdc-13515ba830dc</t>
  </si>
  <si>
    <t>e6e4ac85-f101-45fd-8f81-598725394778</t>
  </si>
  <si>
    <t>10474389</t>
  </si>
  <si>
    <t>277.00</t>
  </si>
  <si>
    <t>1052.6</t>
  </si>
  <si>
    <t>c90853fd-fc9e-4692-ba62-6aee542d19c0</t>
  </si>
  <si>
    <t>96ab64d2-3512-4906-a4ed-017b208a888e</t>
  </si>
  <si>
    <t>82542252</t>
  </si>
  <si>
    <t>3307.00</t>
  </si>
  <si>
    <t>8135.22</t>
  </si>
  <si>
    <t>027752fe-61f6-4c6e-a89c-0559bf4fa4a3</t>
  </si>
  <si>
    <t>16db36e4-d4ae-4486-ab19-4984f49eb5a6</t>
  </si>
  <si>
    <t>64577623</t>
  </si>
  <si>
    <t>497.00</t>
  </si>
  <si>
    <t>397.6</t>
  </si>
  <si>
    <t>88a0edce-4384-460c-a413-961f68c6dd5e</t>
  </si>
  <si>
    <t>44933c86-49ad-4e95-b837-e5069398dbd6</t>
  </si>
  <si>
    <t>2023-07-06</t>
  </si>
  <si>
    <t>97346678</t>
  </si>
  <si>
    <t>7192.00</t>
  </si>
  <si>
    <t>5753.6</t>
  </si>
  <si>
    <t>fb0a6a90-bc52-434e-8dfa-4cc88805ae31</t>
  </si>
  <si>
    <t>af44eaeb-6734-462f-b62d-a54040b1f64d</t>
  </si>
  <si>
    <t>5750573</t>
  </si>
  <si>
    <t>8787.00</t>
  </si>
  <si>
    <t>21616.02</t>
  </si>
  <si>
    <t>c2537638-7670-4835-b476-998dafc8128a</t>
  </si>
  <si>
    <t>dcbcd86e-a2e8-4f7a-9d6a-f484024d65de</t>
  </si>
  <si>
    <t>2023-12-22</t>
  </si>
  <si>
    <t>57118444</t>
  </si>
  <si>
    <t>5031.00</t>
  </si>
  <si>
    <t>18916.56</t>
  </si>
  <si>
    <t>1f626a97-ebe7-4f91-9092-0b690abc847e</t>
  </si>
  <si>
    <t>c7361a75-c61b-4c77-8602-15be0d326347</t>
  </si>
  <si>
    <t>2023-11-22</t>
  </si>
  <si>
    <t>96571576</t>
  </si>
  <si>
    <t>3630.00</t>
  </si>
  <si>
    <t>6751.8</t>
  </si>
  <si>
    <t>2bdb5720-63ea-407f-b436-498e68afe2b8</t>
  </si>
  <si>
    <t>a3b4e529-02a0-47fc-a04e-e43c11f63e9b</t>
  </si>
  <si>
    <t>2023-05-15</t>
  </si>
  <si>
    <t>68068509</t>
  </si>
  <si>
    <t>2525.00</t>
  </si>
  <si>
    <t>6969</t>
  </si>
  <si>
    <t>9f312acb-2362-4bc1-8024-532000cbd313</t>
  </si>
  <si>
    <t>240eb6c1-c5cf-455f-a78d-b4f648df480e</t>
  </si>
  <si>
    <t>50978960</t>
  </si>
  <si>
    <t>3110.00</t>
  </si>
  <si>
    <t>7557.3</t>
  </si>
  <si>
    <t>d70da545-8391-47a6-a977-4b71de6d2d7e</t>
  </si>
  <si>
    <t>227400da-81de-4808-82ff-347bd527b331</t>
  </si>
  <si>
    <t>30488397</t>
  </si>
  <si>
    <t>4427.00</t>
  </si>
  <si>
    <t>3851.49</t>
  </si>
  <si>
    <t>1463c5f8-25ee-44ab-b319-1702bb80d98d</t>
  </si>
  <si>
    <t>f4098aef-1d50-4ccf-bec0-9878f0344058</t>
  </si>
  <si>
    <t>83186189</t>
  </si>
  <si>
    <t>5813.00</t>
  </si>
  <si>
    <t>14474.37</t>
  </si>
  <si>
    <t>d4088ff7-d713-4061-bcc4-f772547e3918</t>
  </si>
  <si>
    <t>d20eab0e-bd87-44d8-81a5-0ef1550c54d4</t>
  </si>
  <si>
    <t>4550723</t>
  </si>
  <si>
    <t>9563.00</t>
  </si>
  <si>
    <t>16448.36</t>
  </si>
  <si>
    <t>f22a4fc6-3f2d-48a8-ad20-481ad216ad53</t>
  </si>
  <si>
    <t>548c3ec4-2536-4ca8-966a-45e952c51809</t>
  </si>
  <si>
    <t>89099964</t>
  </si>
  <si>
    <t>4178.00</t>
  </si>
  <si>
    <t>10779.24</t>
  </si>
  <si>
    <t>e575ae93-ce74-4e8a-b4e1-680b05a02c72</t>
  </si>
  <si>
    <t>160d0b9e-1004-4975-8045-883b940f737e</t>
  </si>
  <si>
    <t>2023-01-27</t>
  </si>
  <si>
    <t>47498341</t>
  </si>
  <si>
    <t>2926.00</t>
  </si>
  <si>
    <t>8163.54</t>
  </si>
  <si>
    <t>d69db137-c9a5-4cd1-be28-e8c52b395c4e</t>
  </si>
  <si>
    <t>7378e6ca-40fd-4aaa-b504-e26c5f7e07d3</t>
  </si>
  <si>
    <t>2023-08-13</t>
  </si>
  <si>
    <t>23373341</t>
  </si>
  <si>
    <t>5362.00</t>
  </si>
  <si>
    <t>4664.94</t>
  </si>
  <si>
    <t>b7c144fb-2b16-4d04-8fb8-7c76af044a8d</t>
  </si>
  <si>
    <t>7874166b-7c34-46eb-aeaa-ec4854f1a7a3</t>
  </si>
  <si>
    <t>53952165</t>
  </si>
  <si>
    <t>3435.00</t>
  </si>
  <si>
    <t>6389.1</t>
  </si>
  <si>
    <t>dd5aacc7-ed7a-4edf-ad5b-7d501417d4f9</t>
  </si>
  <si>
    <t>14b3f264-1598-434a-86c5-2c1b8923cba1</t>
  </si>
  <si>
    <t>33993621</t>
  </si>
  <si>
    <t>9030.00</t>
  </si>
  <si>
    <t>14989.8</t>
  </si>
  <si>
    <t>a0e77486-9ed9-4124-9a89-5c62990e8f01</t>
  </si>
  <si>
    <t>c6cbb179-6239-430a-b052-5bb650c67350</t>
  </si>
  <si>
    <t>74911431</t>
  </si>
  <si>
    <t>3785.00</t>
  </si>
  <si>
    <t>13626</t>
  </si>
  <si>
    <t>9d6c84af-266b-4d37-b5c9-9b49751f7e54</t>
  </si>
  <si>
    <t>8d20dbea-7ae3-48cf-8ace-37d3673ef518</t>
  </si>
  <si>
    <t>517447</t>
  </si>
  <si>
    <t>4488.00</t>
  </si>
  <si>
    <t>4218.72</t>
  </si>
  <si>
    <t>571aa4f6-40a2-4015-8a40-a3799a1ab357</t>
  </si>
  <si>
    <t>e80d2403-12f3-48a1-84c6-50276d05f2e3</t>
  </si>
  <si>
    <t>76438585</t>
  </si>
  <si>
    <t>6352.00</t>
  </si>
  <si>
    <t>11687.68</t>
  </si>
  <si>
    <t>606375b8-bb93-4826-bcee-9d29ce4f1ca0</t>
  </si>
  <si>
    <t>664ceba8-a4ef-4def-a4cb-0b4e3825a7e1</t>
  </si>
  <si>
    <t>91565181</t>
  </si>
  <si>
    <t>491.00</t>
  </si>
  <si>
    <t>854.34</t>
  </si>
  <si>
    <t>e3b4df81-eeb3-462c-a032-149d06fafb60</t>
  </si>
  <si>
    <t>503a65d5-82ed-45ab-9fde-522dd429e0c9</t>
  </si>
  <si>
    <t>29799688</t>
  </si>
  <si>
    <t>2912.00</t>
  </si>
  <si>
    <t>7250.88</t>
  </si>
  <si>
    <t>5bbdd1f4-16f1-4aad-bf10-7645094c0230</t>
  </si>
  <si>
    <t>24a703e3-120a-402f-a11a-15c325efc3a9</t>
  </si>
  <si>
    <t>2023-09-04</t>
  </si>
  <si>
    <t>54822122</t>
  </si>
  <si>
    <t>7132.00</t>
  </si>
  <si>
    <t>24534.08</t>
  </si>
  <si>
    <t>754724dd-269b-4c3b-abf0-f4bd4af0a6fe</t>
  </si>
  <si>
    <t>a5005582-6250-49f9-88d1-7e6327e8aeae</t>
  </si>
  <si>
    <t>14038563</t>
  </si>
  <si>
    <t>6963.00</t>
  </si>
  <si>
    <t>6614.85</t>
  </si>
  <si>
    <t>298b7e5d-5b16-44ad-81e7-74de3c740119</t>
  </si>
  <si>
    <t>116febe7-aa0c-4327-9daa-42fc90b15e3d</t>
  </si>
  <si>
    <t>85189706</t>
  </si>
  <si>
    <t>694.00</t>
  </si>
  <si>
    <t>1276.96</t>
  </si>
  <si>
    <t>566ff3ec-679b-49e8-80c3-2da9bc49b58e</t>
  </si>
  <si>
    <t>4d7e4449-90b6-4394-8482-36e9863c6992</t>
  </si>
  <si>
    <t>38606694</t>
  </si>
  <si>
    <t>9956.00</t>
  </si>
  <si>
    <t>35045.12</t>
  </si>
  <si>
    <t>f1c58f44-7e08-4c1b-8da6-a326451437d6</t>
  </si>
  <si>
    <t>de8e3228-aa64-4f16-b035-50885a2bf7fe</t>
  </si>
  <si>
    <t>2023-08-02</t>
  </si>
  <si>
    <t>88311562</t>
  </si>
  <si>
    <t>3739.00</t>
  </si>
  <si>
    <t>3552.05</t>
  </si>
  <si>
    <t>87c47eb8-4f8e-4e01-83c8-e1046480fdc0</t>
  </si>
  <si>
    <t>976ae5fb-66f1-40a0-ba1a-262bba13834f</t>
  </si>
  <si>
    <t>2023-04-19</t>
  </si>
  <si>
    <t>84377296</t>
  </si>
  <si>
    <t>7238.00</t>
  </si>
  <si>
    <t>18891.18</t>
  </si>
  <si>
    <t>780afabf-8cea-409b-89c9-4aa5e689e5e8</t>
  </si>
  <si>
    <t>ab6fc9e7-be72-4448-91b5-ab77d09e1abb</t>
  </si>
  <si>
    <t>94887518</t>
  </si>
  <si>
    <t>1868.00</t>
  </si>
  <si>
    <t>3325.04</t>
  </si>
  <si>
    <t>88239867-c5dd-467b-88f1-100bfa3222c4</t>
  </si>
  <si>
    <t>832d5e70-777c-4128-9f51-9184e79d4d5f</t>
  </si>
  <si>
    <t>2023-04-13</t>
  </si>
  <si>
    <t>5572847</t>
  </si>
  <si>
    <t>9406.00</t>
  </si>
  <si>
    <t>34614.08</t>
  </si>
  <si>
    <t>ef208346-432f-4308-8d56-206d920c3de9</t>
  </si>
  <si>
    <t>808ea422-c6f6-41d5-bb77-ba5f586076e3</t>
  </si>
  <si>
    <t>1727487</t>
  </si>
  <si>
    <t>328.00</t>
  </si>
  <si>
    <t>301.76</t>
  </si>
  <si>
    <t>6522ff46-74b7-461c-89ce-15a8afd4fc7b</t>
  </si>
  <si>
    <t>c81a58a6-6245-4749-b9a6-edc1099fb91b</t>
  </si>
  <si>
    <t>22913821</t>
  </si>
  <si>
    <t>8723.00</t>
  </si>
  <si>
    <t>16573.7</t>
  </si>
  <si>
    <t>58ba0bf3-675e-4c52-9eb9-5739b8acdd81</t>
  </si>
  <si>
    <t>cae1367a-579e-4b08-9db1-3edffa29559d</t>
  </si>
  <si>
    <t>70185560</t>
  </si>
  <si>
    <t>4526.00</t>
  </si>
  <si>
    <t>3756.58</t>
  </si>
  <si>
    <t>45e695b1-054b-4816-8d18-533e7efa2faf</t>
  </si>
  <si>
    <t>93098549-3ff0-4579-81c3-df9183278f64</t>
  </si>
  <si>
    <t>53167996</t>
  </si>
  <si>
    <t>1336.00</t>
  </si>
  <si>
    <t>3567.12</t>
  </si>
  <si>
    <t>4100e665-08c6-46a9-bee4-e6bcbd6deb92</t>
  </si>
  <si>
    <t>5e349e31-1c67-456d-b9ac-d84313b2cc15</t>
  </si>
  <si>
    <t>81999743</t>
  </si>
  <si>
    <t>674.00</t>
  </si>
  <si>
    <t>1920.9</t>
  </si>
  <si>
    <t>b3e4bd3a-94fe-41a0-ae2e-45a4ae4404d7</t>
  </si>
  <si>
    <t>3e6fdeb2-9e76-4f95-843e-ebcc6f69ed69</t>
  </si>
  <si>
    <t>5871841</t>
  </si>
  <si>
    <t>11437.4</t>
  </si>
  <si>
    <t>feb46b24-4a2e-4d41-addb-0263c6a2894d</t>
  </si>
  <si>
    <t>81ffbbc1-84c8-4b95-8637-da9e8bb62aff</t>
  </si>
  <si>
    <t>19509242</t>
  </si>
  <si>
    <t>7920.00</t>
  </si>
  <si>
    <t>26928</t>
  </si>
  <si>
    <t>c33993f2-3504-4f77-8317-c3d4afa4f554</t>
  </si>
  <si>
    <t>91e54b3a-0a4e-4eb7-b97b-8d621c9527d0</t>
  </si>
  <si>
    <t>2023-04-18</t>
  </si>
  <si>
    <t>25736588</t>
  </si>
  <si>
    <t>7985.00</t>
  </si>
  <si>
    <t>15011.8</t>
  </si>
  <si>
    <t>62d59938-571c-4d78-8429-aeae877e5ea1</t>
  </si>
  <si>
    <t>5da23c06-f146-4080-8a2c-f6a95bd38392</t>
  </si>
  <si>
    <t>5597376</t>
  </si>
  <si>
    <t>830.00</t>
  </si>
  <si>
    <t>2689.2</t>
  </si>
  <si>
    <t>402988fd-f8cc-4f3b-959b-148ffa7bff5f</t>
  </si>
  <si>
    <t>7c6d74a8-44ee-4071-9745-ef5a2e0885fc</t>
  </si>
  <si>
    <t>69956676</t>
  </si>
  <si>
    <t>7273.00</t>
  </si>
  <si>
    <t>12655.02</t>
  </si>
  <si>
    <t>fb52451d-90e7-41a1-9db1-dfdc357f0a64</t>
  </si>
  <si>
    <t>e1dafdd8-ea09-4bb2-8187-715f7baf204d</t>
  </si>
  <si>
    <t>2023-06-21</t>
  </si>
  <si>
    <t>32703078</t>
  </si>
  <si>
    <t>2445.00</t>
  </si>
  <si>
    <t>2053.8</t>
  </si>
  <si>
    <t>f16f1487-f7f2-4e5c-8e07-55e354565b12</t>
  </si>
  <si>
    <t>cfa88592-0055-4e42-ab49-6a3bf26ce972</t>
  </si>
  <si>
    <t>2023-02-16</t>
  </si>
  <si>
    <t>2128313</t>
  </si>
  <si>
    <t>4903.00</t>
  </si>
  <si>
    <t>8335.1</t>
  </si>
  <si>
    <t>ac825818-960d-4788-be1e-165decadbb86</t>
  </si>
  <si>
    <t>a7838837-3c74-4bc2-8504-644fa5dc7c7b</t>
  </si>
  <si>
    <t>16380264</t>
  </si>
  <si>
    <t>1059.00</t>
  </si>
  <si>
    <t>2636.91</t>
  </si>
  <si>
    <t>e02a35e9-ae6b-4c8e-8864-4581b8577478</t>
  </si>
  <si>
    <t>b9ab308f-be2b-4272-ba37-e212a78c1cda</t>
  </si>
  <si>
    <t>21658372</t>
  </si>
  <si>
    <t>9063</t>
  </si>
  <si>
    <t>de386aeb-ea96-4be6-a99c-f16b5a7583c0</t>
  </si>
  <si>
    <t>cd84344b-aef4-42a7-9821-6f30e31b9123</t>
  </si>
  <si>
    <t>2023-06-29</t>
  </si>
  <si>
    <t>1138115</t>
  </si>
  <si>
    <t>9085.00</t>
  </si>
  <si>
    <t>33069.4</t>
  </si>
  <si>
    <t>d8a1a546-54a6-487c-a72e-aa36e642965c</t>
  </si>
  <si>
    <t>b9c3a78f-c8d3-4cee-9370-c51fd8e2ba4c</t>
  </si>
  <si>
    <t>81910243</t>
  </si>
  <si>
    <t>5724.00</t>
  </si>
  <si>
    <t>13737.6</t>
  </si>
  <si>
    <t>95be263b-0253-4c8c-91f0-c570bf5545ce</t>
  </si>
  <si>
    <t>c2de5950-0b2f-42ef-ac09-59b82924b159</t>
  </si>
  <si>
    <t>2023-03-31</t>
  </si>
  <si>
    <t>79824491</t>
  </si>
  <si>
    <t>8670.00</t>
  </si>
  <si>
    <t>14045.4</t>
  </si>
  <si>
    <t>27fa8b8a-909b-471c-8d1f-0a7fd0fce922</t>
  </si>
  <si>
    <t>a8936bd3-86a2-4efb-baf0-cf69bd2098c6</t>
  </si>
  <si>
    <t>99354275</t>
  </si>
  <si>
    <t>163.00</t>
  </si>
  <si>
    <t>141.81</t>
  </si>
  <si>
    <t>4a8b77da-5cfa-48b1-9836-78eef3ca5f64</t>
  </si>
  <si>
    <t>d545de36-2a36-4435-ada0-4e30ff741d1c</t>
  </si>
  <si>
    <t>25332964</t>
  </si>
  <si>
    <t>6770.00</t>
  </si>
  <si>
    <t>17669.7</t>
  </si>
  <si>
    <t>7eaf1679-52b0-4994-8b1d-d9fda02ebb76</t>
  </si>
  <si>
    <t>af58e381-49ac-4f36-b202-054f62a10ce2</t>
  </si>
  <si>
    <t>76092909</t>
  </si>
  <si>
    <t>678.00</t>
  </si>
  <si>
    <t>1627.2</t>
  </si>
  <si>
    <t>6e566274-99c7-4bea-a756-264dc8649f78</t>
  </si>
  <si>
    <t>36890df9-7bd3-4c4b-948c-52c8e0f24eb3</t>
  </si>
  <si>
    <t>41060230</t>
  </si>
  <si>
    <t>6013.00</t>
  </si>
  <si>
    <t>11184.18</t>
  </si>
  <si>
    <t>c9d0a7f4-0042-4fc6-ab87-71dffccae6b8</t>
  </si>
  <si>
    <t>7448f798-b50a-476c-86fc-cff0e9e4f06c</t>
  </si>
  <si>
    <t>2023-04-07</t>
  </si>
  <si>
    <t>41309766</t>
  </si>
  <si>
    <t>6976.00</t>
  </si>
  <si>
    <t>12696.32</t>
  </si>
  <si>
    <t>711fa10a-0b29-45c6-918f-f3582408c3c2</t>
  </si>
  <si>
    <t>d36d8076-998b-4e1c-9f81-fca3ffb1c2c9</t>
  </si>
  <si>
    <t>67341573</t>
  </si>
  <si>
    <t>4049.00</t>
  </si>
  <si>
    <t>7369.18</t>
  </si>
  <si>
    <t>0262a5aa-edec-41ef-9762-762620379089</t>
  </si>
  <si>
    <t>9c8fe812-2c64-4b82-abbe-bd4ff9e590e4</t>
  </si>
  <si>
    <t>65900192</t>
  </si>
  <si>
    <t>6142.00</t>
  </si>
  <si>
    <t>11669.8</t>
  </si>
  <si>
    <t>e8ef99e9-7afc-40cd-b8bc-6621f2d7fe55</t>
  </si>
  <si>
    <t>53e82886-9411-423a-90b4-17eb7111f1d1</t>
  </si>
  <si>
    <t>2023-07-26</t>
  </si>
  <si>
    <t>97737803</t>
  </si>
  <si>
    <t>9509.00</t>
  </si>
  <si>
    <t>8177.74</t>
  </si>
  <si>
    <t>a9afa87a-d181-49bf-aa09-9a46f25a3c68</t>
  </si>
  <si>
    <t>c4fa9dd1-9160-4261-ae10-7e22fa7199d6</t>
  </si>
  <si>
    <t>43035847</t>
  </si>
  <si>
    <t>9381.00</t>
  </si>
  <si>
    <t>17823.9</t>
  </si>
  <si>
    <t>9cb9f9aa-bf4d-4eaa-81f2-005bc7537df5</t>
  </si>
  <si>
    <t>24e2e13a-a0e5-4d8c-9d75-24bcdd82016d</t>
  </si>
  <si>
    <t>6533359</t>
  </si>
  <si>
    <t>6828.00</t>
  </si>
  <si>
    <t>22395.84</t>
  </si>
  <si>
    <t>efa2ce12-8c83-4848-91fb-a56e300a2187</t>
  </si>
  <si>
    <t>3cbafcaa-6435-40a0-adf5-e2aa832cb6a7</t>
  </si>
  <si>
    <t>9101357</t>
  </si>
  <si>
    <t>3561.00</t>
  </si>
  <si>
    <t>3026.85</t>
  </si>
  <si>
    <t>d48457df-f325-4f2d-8759-5b016c835975</t>
  </si>
  <si>
    <t>3d992624-4b93-48d9-a188-0ea05e5ecd0a</t>
  </si>
  <si>
    <t>2023-11-12</t>
  </si>
  <si>
    <t>91864321</t>
  </si>
  <si>
    <t>6456.00</t>
  </si>
  <si>
    <t>6068.64</t>
  </si>
  <si>
    <t>10339310-2b7b-4e99-878f-40ed2c805ac7</t>
  </si>
  <si>
    <t>3de674fe-f66b-42a9-8142-452b361c57ab</t>
  </si>
  <si>
    <t>2023-11-10</t>
  </si>
  <si>
    <t>77739186</t>
  </si>
  <si>
    <t>29733</t>
  </si>
  <si>
    <t>94665d45-284b-4bcd-a3af-11d0a8ab29f1</t>
  </si>
  <si>
    <t>ed825ea8-dda9-402a-964f-bdde895585be</t>
  </si>
  <si>
    <t>82159214</t>
  </si>
  <si>
    <t>5645.00</t>
  </si>
  <si>
    <t>15410.85</t>
  </si>
  <si>
    <t>a1d33772-8101-4c5b-b110-397a1c2c7a34</t>
  </si>
  <si>
    <t>749df1ff-f13a-4049-9f3f-a533e28cfc3c</t>
  </si>
  <si>
    <t>2023-06-23</t>
  </si>
  <si>
    <t>46432131</t>
  </si>
  <si>
    <t>5155.00</t>
  </si>
  <si>
    <t>19382.8</t>
  </si>
  <si>
    <t>627b9de7-9ae4-45e0-8b1d-c2f8cbf1f93c</t>
  </si>
  <si>
    <t>9fbd4b9f-5675-4682-996d-66423cf87ff0</t>
  </si>
  <si>
    <t>2023-08-22</t>
  </si>
  <si>
    <t>34401286</t>
  </si>
  <si>
    <t>9638.00</t>
  </si>
  <si>
    <t>24287.76</t>
  </si>
  <si>
    <t>4fb7c3bb-4408-404c-af44-6806c1378e75</t>
  </si>
  <si>
    <t>3e5aed83-5272-4246-a57e-a412a2157489</t>
  </si>
  <si>
    <t>2023-05-13</t>
  </si>
  <si>
    <t>74211395</t>
  </si>
  <si>
    <t>6042.00</t>
  </si>
  <si>
    <t>10392.24</t>
  </si>
  <si>
    <t>c74dd25c-6dbf-459c-837d-975248f3531c</t>
  </si>
  <si>
    <t>41b72448-c286-4234-9815-80dc24d878a1</t>
  </si>
  <si>
    <t>83327377</t>
  </si>
  <si>
    <t>4461.6</t>
  </si>
  <si>
    <t>47caf779-b7c9-4da8-91db-32f8fda834ea</t>
  </si>
  <si>
    <t>b4642bad-8959-4298-ac48-1f988ce67bdc</t>
  </si>
  <si>
    <t>97156826</t>
  </si>
  <si>
    <t>5491.00</t>
  </si>
  <si>
    <t>18010.48</t>
  </si>
  <si>
    <t>86fadb0e-89b1-40d4-8218-ca25f23db306</t>
  </si>
  <si>
    <t>e4c80a29-1d5f-4dfc-98b0-b4d7b5e16e19</t>
  </si>
  <si>
    <t>2023-07-14</t>
  </si>
  <si>
    <t>6992927</t>
  </si>
  <si>
    <t>7856.00</t>
  </si>
  <si>
    <t>7227.52</t>
  </si>
  <si>
    <t>579e9a46-fd76-4f63-9163-de1d8df7a267</t>
  </si>
  <si>
    <t>346eba31-7ad5-4f81-b267-8417ec023a99</t>
  </si>
  <si>
    <t>65883358</t>
  </si>
  <si>
    <t>2210.00</t>
  </si>
  <si>
    <t>7072</t>
  </si>
  <si>
    <t>6e83a7b2-c857-48c3-b4a0-697630a31251</t>
  </si>
  <si>
    <t>5ba1cdb6-99ae-49de-ae78-33c5b11bb2df</t>
  </si>
  <si>
    <t>39706973</t>
  </si>
  <si>
    <t>4123.00</t>
  </si>
  <si>
    <t>7668.78</t>
  </si>
  <si>
    <t>01847803-d840-4ccb-a446-eceecaa0a679</t>
  </si>
  <si>
    <t>cd59bece-b5bc-4583-bfc3-4af19af08b9a</t>
  </si>
  <si>
    <t>8535207</t>
  </si>
  <si>
    <t>8078.00</t>
  </si>
  <si>
    <t>14863.52</t>
  </si>
  <si>
    <t>c8dec9ab-27c3-4784-82e7-448cc0037457</t>
  </si>
  <si>
    <t>e79d1be2-7f29-486c-8a73-0eaa16bb4fb0</t>
  </si>
  <si>
    <t>2023-07-10</t>
  </si>
  <si>
    <t>57189642</t>
  </si>
  <si>
    <t>9852.00</t>
  </si>
  <si>
    <t>16945.44</t>
  </si>
  <si>
    <t>c81236e6-ec77-4fc8-b38e-5adba93fa902</t>
  </si>
  <si>
    <t>45ffa36b-63c2-423d-8b32-bc8635d5870d</t>
  </si>
  <si>
    <t>98230716</t>
  </si>
  <si>
    <t>1510.00</t>
  </si>
  <si>
    <t>4892.4</t>
  </si>
  <si>
    <t>76d142d0-5c66-49bb-a257-4c5a903374bf</t>
  </si>
  <si>
    <t>d813a70f-5a9c-40b5-b3b8-87d38301c5b9</t>
  </si>
  <si>
    <t>2023-07-25</t>
  </si>
  <si>
    <t>37494407</t>
  </si>
  <si>
    <t>610.08</t>
  </si>
  <si>
    <t>e994f3e6-8fc4-4dd3-894f-7d5af313c0b0</t>
  </si>
  <si>
    <t>054f0566-bb1a-48e2-90b9-1e51681e5658</t>
  </si>
  <si>
    <t>95410906</t>
  </si>
  <si>
    <t>6225.00</t>
  </si>
  <si>
    <t>15687</t>
  </si>
  <si>
    <t>cc68fd3f-9d37-4a5c-a2fc-7fe3696100ac</t>
  </si>
  <si>
    <t>326ea68d-f4e3-4152-b12c-d4340b177efd</t>
  </si>
  <si>
    <t>70210446</t>
  </si>
  <si>
    <t>1736.00</t>
  </si>
  <si>
    <t>3124.8</t>
  </si>
  <si>
    <t>e65a3ae4-3a72-417d-829e-d120cddb2316</t>
  </si>
  <si>
    <t>d8ce8d9a-29de-476a-94ce-14b39a9a56bc</t>
  </si>
  <si>
    <t>11139904</t>
  </si>
  <si>
    <t>4489.00</t>
  </si>
  <si>
    <t>4129.88</t>
  </si>
  <si>
    <t>fb46ed39-8772-4347-9cba-9be3040464c0</t>
  </si>
  <si>
    <t>4037fffa-14b8-417e-b555-5ded8ea5e386</t>
  </si>
  <si>
    <t>55997089</t>
  </si>
  <si>
    <t>7200.00</t>
  </si>
  <si>
    <t>11664</t>
  </si>
  <si>
    <t>31cb5e8e-ae25-42ca-a894-8b4cf0fcccc6</t>
  </si>
  <si>
    <t>7c8765b6-b04a-4620-89ab-05a8806094aa</t>
  </si>
  <si>
    <t>97649038</t>
  </si>
  <si>
    <t>1084.00</t>
  </si>
  <si>
    <t>2634.12</t>
  </si>
  <si>
    <t>b3390a6e-a0b8-4e45-9abe-c113a1832fdb</t>
  </si>
  <si>
    <t>d9371f2a-506e-4fc6-905d-2cb96b76911f</t>
  </si>
  <si>
    <t>55526364</t>
  </si>
  <si>
    <t>3666.00</t>
  </si>
  <si>
    <t>13637.52</t>
  </si>
  <si>
    <t>bc39e1b3-bb1d-4677-84e6-748a7f3ab7dc</t>
  </si>
  <si>
    <t>b334ebbc-ef6e-4981-be23-bd25ac788719</t>
  </si>
  <si>
    <t>498340</t>
  </si>
  <si>
    <t>2055.00</t>
  </si>
  <si>
    <t>1890.6</t>
  </si>
  <si>
    <t>3df8eeef-e44a-41f6-9251-ad083fcb34fa</t>
  </si>
  <si>
    <t>0df099c5-62a7-4dc7-b273-38fcdfa69923</t>
  </si>
  <si>
    <t>2023-12-21</t>
  </si>
  <si>
    <t>29064304</t>
  </si>
  <si>
    <t>1231.00</t>
  </si>
  <si>
    <t>4185.4</t>
  </si>
  <si>
    <t>c2112eda-f1e7-4a9b-af65-70d74643d705</t>
  </si>
  <si>
    <t>e47e3d10-1d72-40fe-aa28-9858dd07edc6</t>
  </si>
  <si>
    <t>2023-04-01</t>
  </si>
  <si>
    <t>9279230</t>
  </si>
  <si>
    <t>8156.00</t>
  </si>
  <si>
    <t>21531.84</t>
  </si>
  <si>
    <t>92b95731-13f2-4c86-ab83-f00fed2ee36f</t>
  </si>
  <si>
    <t>28e2f201-fbb2-4429-95ab-42c50f08502e</t>
  </si>
  <si>
    <t>95468181</t>
  </si>
  <si>
    <t>259.00</t>
  </si>
  <si>
    <t>849.52</t>
  </si>
  <si>
    <t>b6bca2a2-be79-4965-bc9a-923672bbe7b3</t>
  </si>
  <si>
    <t>b85f2ec4-9d6f-41b5-8420-e63bc34dfc64</t>
  </si>
  <si>
    <t>73440598</t>
  </si>
  <si>
    <t>2459.00</t>
  </si>
  <si>
    <t>6417.99</t>
  </si>
  <si>
    <t>e51c0cdb-8247-44df-9d1f-8e30731c877a</t>
  </si>
  <si>
    <t>8c46e2bc-4f12-40d5-b028-dab48f0c417a</t>
  </si>
  <si>
    <t>49434583</t>
  </si>
  <si>
    <t>2376.00</t>
  </si>
  <si>
    <t>6486.48</t>
  </si>
  <si>
    <t>19b53b7f-b47a-4dce-8f70-9452ce8c037e</t>
  </si>
  <si>
    <t>ea8760aa-da4d-4a76-aa34-bfb4e62a3fb5</t>
  </si>
  <si>
    <t>44671167</t>
  </si>
  <si>
    <t>552.00</t>
  </si>
  <si>
    <t>1473.84</t>
  </si>
  <si>
    <t>70c455a9-2a1b-4112-b033-1476f53fc3dd</t>
  </si>
  <si>
    <t>f230400a-386b-41c0-9ffe-6c117b51aca6</t>
  </si>
  <si>
    <t>2023-10-31</t>
  </si>
  <si>
    <t>32345872</t>
  </si>
  <si>
    <t>8869.00</t>
  </si>
  <si>
    <t>14190.4</t>
  </si>
  <si>
    <t>6d3f4b37-ed90-41c1-90b2-e6e5ec6e61bd</t>
  </si>
  <si>
    <t>148680de-b9e7-49c6-96f4-8941ad283c0d</t>
  </si>
  <si>
    <t>79638753</t>
  </si>
  <si>
    <t>466.00</t>
  </si>
  <si>
    <t>1314.12</t>
  </si>
  <si>
    <t>4598244b-f0bd-4405-a50d-d400a27ee80d</t>
  </si>
  <si>
    <t>a0ce5b5f-ca56-4921-b942-2f1efed97f9e</t>
  </si>
  <si>
    <t>13974916</t>
  </si>
  <si>
    <t>5539.00</t>
  </si>
  <si>
    <t>9748.64</t>
  </si>
  <si>
    <t>c1fa924e-e1bc-4fb2-afed-6cc540b000a4</t>
  </si>
  <si>
    <t>047cd56e-fd6c-4364-8191-cbeb175bf448</t>
  </si>
  <si>
    <t>138659</t>
  </si>
  <si>
    <t>1128.00</t>
  </si>
  <si>
    <t>2007.84</t>
  </si>
  <si>
    <t>53e83663-9c14-440d-9b2d-81ccc602bd20</t>
  </si>
  <si>
    <t>835875c3-9520-49e4-a8fc-f210dac15a07</t>
  </si>
  <si>
    <t>81174775</t>
  </si>
  <si>
    <t>5918.00</t>
  </si>
  <si>
    <t>21541.52</t>
  </si>
  <si>
    <t>7e15aa2c-07b6-428f-8e98-ce2517337a7c</t>
  </si>
  <si>
    <t>d112460c-bba1-4642-b4a8-bcd354b7e75b</t>
  </si>
  <si>
    <t>2023-01-07</t>
  </si>
  <si>
    <t>4887591</t>
  </si>
  <si>
    <t>6430.00</t>
  </si>
  <si>
    <t>23405.2</t>
  </si>
  <si>
    <t>33e9e55e-4024-42a3-8334-f55802cee581</t>
  </si>
  <si>
    <t>e6b0643c-1884-47d8-be9f-9ff698bc2c7a</t>
  </si>
  <si>
    <t>72830796</t>
  </si>
  <si>
    <t>14359.26</t>
  </si>
  <si>
    <t>6f844392-62f9-4bb2-a5dc-ac6cc329870a</t>
  </si>
  <si>
    <t>0a8f541d-052b-4051-bc24-1ca590425d14</t>
  </si>
  <si>
    <t>2023-09-03</t>
  </si>
  <si>
    <t>33930411</t>
  </si>
  <si>
    <t>187.00</t>
  </si>
  <si>
    <t>613.36</t>
  </si>
  <si>
    <t>ac4ebce0-a02a-4b21-a2a7-d0fcc683ad33</t>
  </si>
  <si>
    <t>eee05fb7-d2d6-440d-9871-1121c9e8060c</t>
  </si>
  <si>
    <t>2023-01-16</t>
  </si>
  <si>
    <t>65652961</t>
  </si>
  <si>
    <t>5676.00</t>
  </si>
  <si>
    <t>4540.8</t>
  </si>
  <si>
    <t>d2928f4b-e151-4a0d-b275-16ea63a6aae9</t>
  </si>
  <si>
    <t>d0d65fdd-176b-4101-8fe5-143bbae8d99f</t>
  </si>
  <si>
    <t>72623053</t>
  </si>
  <si>
    <t>2789.00</t>
  </si>
  <si>
    <t>10151.96</t>
  </si>
  <si>
    <t>5ac5f4f0-771e-4087-952b-1ee109d5b64f</t>
  </si>
  <si>
    <t>b5b46896-6432-4fe8-9ecc-ac5b968d4f41</t>
  </si>
  <si>
    <t>77154927</t>
  </si>
  <si>
    <t>1696.00</t>
  </si>
  <si>
    <t>4375.68</t>
  </si>
  <si>
    <t>907d8532-2076-4932-919c-21edd47133e7</t>
  </si>
  <si>
    <t>93658891-e460-4a02-85ac-c61220de5de4</t>
  </si>
  <si>
    <t>40384436</t>
  </si>
  <si>
    <t>5132.00</t>
  </si>
  <si>
    <t>17243.52</t>
  </si>
  <si>
    <t>d26eeeba-53ff-4644-8741-ee56b5e2834d</t>
  </si>
  <si>
    <t>9c7221e4-ec1a-48a3-ad51-fa2bf13a2ff3</t>
  </si>
  <si>
    <t>17187527</t>
  </si>
  <si>
    <t>7994.00</t>
  </si>
  <si>
    <t>29737.68</t>
  </si>
  <si>
    <t>ebc16f69-7946-4978-a5e9-675306389bd3</t>
  </si>
  <si>
    <t>e195f855-dd4b-4f7e-b559-ddc787fde43c</t>
  </si>
  <si>
    <t>48103350</t>
  </si>
  <si>
    <t>3230.00</t>
  </si>
  <si>
    <t>8817.9</t>
  </si>
  <si>
    <t>14dc01bc-0aa5-4583-a2a5-a421858da7da</t>
  </si>
  <si>
    <t>28a3938c-4ba4-45e2-8718-e12c32a564ff</t>
  </si>
  <si>
    <t>82553432</t>
  </si>
  <si>
    <t>9144.9</t>
  </si>
  <si>
    <t>5c6be596-58f1-4c91-9d6d-47e490e0172f</t>
  </si>
  <si>
    <t>f3807543-9722-4f90-af07-3516e8a14cd3</t>
  </si>
  <si>
    <t>80644644</t>
  </si>
  <si>
    <t>3503.00</t>
  </si>
  <si>
    <t>12190.44</t>
  </si>
  <si>
    <t>b7a02afd-30d6-463f-91c2-72d801267789</t>
  </si>
  <si>
    <t>e03cc361-214e-40ee-a30c-2ebd39dc2c06</t>
  </si>
  <si>
    <t>10092385</t>
  </si>
  <si>
    <t>2673.00</t>
  </si>
  <si>
    <t>4437.18</t>
  </si>
  <si>
    <t>789a2829-8a66-4359-abe0-a1771c5e1698</t>
  </si>
  <si>
    <t>c9d9db15-7efa-4e99-8204-5f8c3a72a669</t>
  </si>
  <si>
    <t>8299420</t>
  </si>
  <si>
    <t>2018.00</t>
  </si>
  <si>
    <t>6780.48</t>
  </si>
  <si>
    <t>d763b159-ed9a-489a-9085-2f4f0b09ec41</t>
  </si>
  <si>
    <t>9dbff93f-bc03-4029-a530-53ae4db1762e</t>
  </si>
  <si>
    <t>29707942</t>
  </si>
  <si>
    <t>345.00</t>
  </si>
  <si>
    <t>614.1</t>
  </si>
  <si>
    <t>067fece7-f1ff-46dc-b45a-a79bd855fb35</t>
  </si>
  <si>
    <t>22e7ee59-1414-4ca8-b455-f1f64574a37e</t>
  </si>
  <si>
    <t>83513329</t>
  </si>
  <si>
    <t>4368.00</t>
  </si>
  <si>
    <t>15200.64</t>
  </si>
  <si>
    <t>2011bc8a-e7bf-4a96-a484-9eb55096ccf2</t>
  </si>
  <si>
    <t>682e4002-a9f1-4f7c-97ea-0686e5f14395</t>
  </si>
  <si>
    <t>2023-08-18</t>
  </si>
  <si>
    <t>24874748</t>
  </si>
  <si>
    <t>4128.96</t>
  </si>
  <si>
    <t>a2b4d215-c3c5-407d-be29-2238fbfbe602</t>
  </si>
  <si>
    <t>32e97761-2e97-4c72-b3c7-3944f95c46f7</t>
  </si>
  <si>
    <t>35327721</t>
  </si>
  <si>
    <t>8036.00</t>
  </si>
  <si>
    <t>13179.04</t>
  </si>
  <si>
    <t>2462c274-abbf-46c7-a80a-ee2a466bd06f</t>
  </si>
  <si>
    <t>59f88a69-0466-4d6b-96ba-d500ded1b802</t>
  </si>
  <si>
    <t>83664359</t>
  </si>
  <si>
    <t>7272.00</t>
  </si>
  <si>
    <t>18325.44</t>
  </si>
  <si>
    <t>ddda17a3-6779-4e0d-a5c1-df67987d616d</t>
  </si>
  <si>
    <t>ad982a08-7ad0-4668-a892-d63b89aeb616</t>
  </si>
  <si>
    <t>47266766</t>
  </si>
  <si>
    <t>5993.00</t>
  </si>
  <si>
    <t>22054.24</t>
  </si>
  <si>
    <t>29b49664-0f52-461d-82f1-240d4e5c6dd2</t>
  </si>
  <si>
    <t>bdc5a588-d0ab-4ea4-815f-47ca204e6817</t>
  </si>
  <si>
    <t>39049803</t>
  </si>
  <si>
    <t>183.00</t>
  </si>
  <si>
    <t>166.53</t>
  </si>
  <si>
    <t>e91e70af-224a-4354-a490-7635201910c6</t>
  </si>
  <si>
    <t>b86137c3-e5ff-47d4-94e1-53ca45568d6d</t>
  </si>
  <si>
    <t>79069922</t>
  </si>
  <si>
    <t>564.00</t>
  </si>
  <si>
    <t>2075.52</t>
  </si>
  <si>
    <t>b75db71e-a453-4fe9-b48f-653e7b1bcb6b</t>
  </si>
  <si>
    <t>b0f62b9e-da34-4d17-9e31-e1f9b30cc272</t>
  </si>
  <si>
    <t>942102</t>
  </si>
  <si>
    <t>3200.00</t>
  </si>
  <si>
    <t>2784</t>
  </si>
  <si>
    <t>bad4c288-0bf5-4ed8-b93c-2989c399fd7f</t>
  </si>
  <si>
    <t>99605cd1-cab2-4a0a-877e-2817ddd1b251</t>
  </si>
  <si>
    <t>45046162</t>
  </si>
  <si>
    <t>2745.6</t>
  </si>
  <si>
    <t>d2d07223-0b20-4e0f-8505-0a17d2e1ed4d</t>
  </si>
  <si>
    <t>e4ed458b-010a-43f8-b877-87e2bc8a8038</t>
  </si>
  <si>
    <t>65332979</t>
  </si>
  <si>
    <t>4485.00</t>
  </si>
  <si>
    <t>4215.9</t>
  </si>
  <si>
    <t>b2835498-be80-493e-b0f1-bb1d8e10fed6</t>
  </si>
  <si>
    <t>bd869312-3506-4af5-92eb-e96b24b7d424</t>
  </si>
  <si>
    <t>65782910</t>
  </si>
  <si>
    <t>2126.00</t>
  </si>
  <si>
    <t>3911.84</t>
  </si>
  <si>
    <t>2e22fd39-f31e-4448-a323-c57fa197b954</t>
  </si>
  <si>
    <t>6b0efd01-00dd-48b3-acea-35a393d5e33b</t>
  </si>
  <si>
    <t>2023-09-26</t>
  </si>
  <si>
    <t>47912489</t>
  </si>
  <si>
    <t>1012.00</t>
  </si>
  <si>
    <t>3400.32</t>
  </si>
  <si>
    <t>d020baee-95fc-4389-8cd6-6756583e26a4</t>
  </si>
  <si>
    <t>89de7a2c-7c26-4722-a53d-c9ce208d549b</t>
  </si>
  <si>
    <t>38569517</t>
  </si>
  <si>
    <t>1032.00</t>
  </si>
  <si>
    <t>2507.76</t>
  </si>
  <si>
    <t>2ca723c4-8f4e-4442-94aa-aefe153251c9</t>
  </si>
  <si>
    <t>f317930e-5199-4cf1-80d9-a24e0a833038</t>
  </si>
  <si>
    <t>57012247</t>
  </si>
  <si>
    <t>8098.00</t>
  </si>
  <si>
    <t>15224.24</t>
  </si>
  <si>
    <t>ccd9f2af-339c-4a75-83fd-46ffd03459a4</t>
  </si>
  <si>
    <t>74e56c68-2ca5-40cb-ab78-a4ee385127f1</t>
  </si>
  <si>
    <t>42325581</t>
  </si>
  <si>
    <t>8133.00</t>
  </si>
  <si>
    <t>15452.7</t>
  </si>
  <si>
    <t>b56b9357-b34d-48b0-93f3-c15842ce91c0</t>
  </si>
  <si>
    <t>714d85bd-e197-4c14-aa06-9b5b510d115a</t>
  </si>
  <si>
    <t>2023-03-08</t>
  </si>
  <si>
    <t>33908380</t>
  </si>
  <si>
    <t>9269.00</t>
  </si>
  <si>
    <t>22801.74</t>
  </si>
  <si>
    <t>8476af98-425d-495f-8846-bf9040fe6898</t>
  </si>
  <si>
    <t>a3289b58-a62f-45c2-b0cc-8eec3b3fd363</t>
  </si>
  <si>
    <t>75267735</t>
  </si>
  <si>
    <t>16023.04</t>
  </si>
  <si>
    <t>e8f58c5d-ffa0-4419-b4db-cc40ef7dee1a</t>
  </si>
  <si>
    <t>b51e3a7b-acdf-4038-867c-cafabbe74e1b</t>
  </si>
  <si>
    <t>78643185</t>
  </si>
  <si>
    <t>1924.00</t>
  </si>
  <si>
    <t>5252.52</t>
  </si>
  <si>
    <t>72e6316e-e671-4ad2-81b5-468a27bb1580</t>
  </si>
  <si>
    <t>7d7a0bfa-598c-4a5c-99b2-b59530519f6a</t>
  </si>
  <si>
    <t>76945113</t>
  </si>
  <si>
    <t>737.04</t>
  </si>
  <si>
    <t>a1ee691a-09e1-43b0-a71f-27728d7f7ba5</t>
  </si>
  <si>
    <t>96b09e29-89e4-49df-9a45-a71745ac1564</t>
  </si>
  <si>
    <t>23782075</t>
  </si>
  <si>
    <t>1567.00</t>
  </si>
  <si>
    <t>2883.28</t>
  </si>
  <si>
    <t>83210210-a43c-491d-ad4d-a4ef95e38180</t>
  </si>
  <si>
    <t>49262a13-37c6-4f46-8860-95c2f812b022</t>
  </si>
  <si>
    <t>2023-06-05</t>
  </si>
  <si>
    <t>28720324</t>
  </si>
  <si>
    <t>7112.00</t>
  </si>
  <si>
    <t>5902.96</t>
  </si>
  <si>
    <t>50eaa1d2-c1f8-490b-a55e-44b808a6d5b4</t>
  </si>
  <si>
    <t>2cd9f51a-10c3-43bd-a478-a3998d682a61</t>
  </si>
  <si>
    <t>39055743</t>
  </si>
  <si>
    <t>1300.00</t>
  </si>
  <si>
    <t>4472</t>
  </si>
  <si>
    <t>31610b3d-1257-463c-b25d-cb50d15b5985</t>
  </si>
  <si>
    <t>970a06dc-f444-4dae-9d21-ae7c60252b8d</t>
  </si>
  <si>
    <t>59551461</t>
  </si>
  <si>
    <t>3325.00</t>
  </si>
  <si>
    <t>5985</t>
  </si>
  <si>
    <t>9c63765b-74e0-4bbb-8a80-33a7a5fd89c8</t>
  </si>
  <si>
    <t>845414a1-185f-4df3-a6d5-eb2ee891f80c</t>
  </si>
  <si>
    <t>17959568</t>
  </si>
  <si>
    <t>6342.00</t>
  </si>
  <si>
    <t>23845.92</t>
  </si>
  <si>
    <t>85b303d3-756b-4c0d-8ff0-c8ac3d1cd68c</t>
  </si>
  <si>
    <t>dec8633f-b738-48a4-a373-624bda3f22d1</t>
  </si>
  <si>
    <t>11028956</t>
  </si>
  <si>
    <t>3384.00</t>
  </si>
  <si>
    <t>5414.4</t>
  </si>
  <si>
    <t>e9a4a856-556b-40fa-b5a3-cece28cdc38a</t>
  </si>
  <si>
    <t>24e90316-75f8-4092-aa4f-44cfeafd080b</t>
  </si>
  <si>
    <t>2023-12-11</t>
  </si>
  <si>
    <t>30181465</t>
  </si>
  <si>
    <t>4991.00</t>
  </si>
  <si>
    <t>13176.24</t>
  </si>
  <si>
    <t>c5826444-79fa-4501-a287-401ba7bbaa76</t>
  </si>
  <si>
    <t>bbca76e0-e56a-47e7-82f8-11266c2c90a7</t>
  </si>
  <si>
    <t>64570341</t>
  </si>
  <si>
    <t>1945.44</t>
  </si>
  <si>
    <t>1519401c-8b1f-4137-8ea2-55e08e50c79a</t>
  </si>
  <si>
    <t>ca92720a-c2e8-4ae2-b1f0-e15089419b16</t>
  </si>
  <si>
    <t>56501100</t>
  </si>
  <si>
    <t>606.00</t>
  </si>
  <si>
    <t>1139.28</t>
  </si>
  <si>
    <t>00a1402e-57e7-4f7b-8486-10cfd21276c2</t>
  </si>
  <si>
    <t>43db0235-1184-48fb-bd33-5a642d79f3f6</t>
  </si>
  <si>
    <t>2023-07-08</t>
  </si>
  <si>
    <t>59204947</t>
  </si>
  <si>
    <t>7845.00</t>
  </si>
  <si>
    <t>26673</t>
  </si>
  <si>
    <t>1a9e8547-147a-48ac-865d-8e4ed01e488b</t>
  </si>
  <si>
    <t>604c83ca-53b9-4632-b967-522170c43406</t>
  </si>
  <si>
    <t>93858335</t>
  </si>
  <si>
    <t>4279.00</t>
  </si>
  <si>
    <t>3765.52</t>
  </si>
  <si>
    <t>91fd7d4a-5a31-46a6-9b87-cc5e6d7fe9b2</t>
  </si>
  <si>
    <t>d5475c92-5825-42e1-8d1f-90ad830a2393</t>
  </si>
  <si>
    <t>29762149</t>
  </si>
  <si>
    <t>7670.00</t>
  </si>
  <si>
    <t>6903</t>
  </si>
  <si>
    <t>60c8e5a0-d560-464c-95f7-792a739ac9e2</t>
  </si>
  <si>
    <t>b8d08f28-bc50-4aeb-a3d8-5381dcd29168</t>
  </si>
  <si>
    <t>65546536</t>
  </si>
  <si>
    <t>6694.00</t>
  </si>
  <si>
    <t>23830.64</t>
  </si>
  <si>
    <t>d7604342-fcbc-4229-9caf-a108832c9b79</t>
  </si>
  <si>
    <t>c5b0b3c8-2038-48f6-8cb1-2015624aff3d</t>
  </si>
  <si>
    <t>6251239</t>
  </si>
  <si>
    <t>4645.00</t>
  </si>
  <si>
    <t>15049.8</t>
  </si>
  <si>
    <t>22d80170-1e6c-4d83-a2f6-2516dc88b09c</t>
  </si>
  <si>
    <t>91b92f8b-8a84-4529-b662-f7edb5b85fb3</t>
  </si>
  <si>
    <t>82749071</t>
  </si>
  <si>
    <t>5542.00</t>
  </si>
  <si>
    <t>21059.6</t>
  </si>
  <si>
    <t>2ebed37d-05d1-46b6-acee-c38d511fcda9</t>
  </si>
  <si>
    <t>4e2e2c6e-08e7-4744-a7f3-c30f26e5e2da</t>
  </si>
  <si>
    <t>78286191</t>
  </si>
  <si>
    <t>5710.00</t>
  </si>
  <si>
    <t>19870.8</t>
  </si>
  <si>
    <t>567fec5e-04ea-481d-a006-8c1cbbd743b3</t>
  </si>
  <si>
    <t>c2ebbadc-8428-4344-b194-8be49de0103a</t>
  </si>
  <si>
    <t>93768580</t>
  </si>
  <si>
    <t>4273.00</t>
  </si>
  <si>
    <t>8033.24</t>
  </si>
  <si>
    <t>0b4cba0a-317e-4b1d-9b83-acd5e2ccddd8</t>
  </si>
  <si>
    <t>35cb60f2-6a75-4179-bd14-f9d493510969</t>
  </si>
  <si>
    <t>30049628</t>
  </si>
  <si>
    <t>4671.00</t>
  </si>
  <si>
    <t>11911.05</t>
  </si>
  <si>
    <t>b2e74e77-0fe1-4edf-a538-790169f12ccd</t>
  </si>
  <si>
    <t>fd642ae2-6434-4207-b415-14cc77fd7fd1</t>
  </si>
  <si>
    <t>33969824</t>
  </si>
  <si>
    <t>5451.00</t>
  </si>
  <si>
    <t>10356.9</t>
  </si>
  <si>
    <t>e963544a-63b7-4101-8bf8-e26a4fae667b</t>
  </si>
  <si>
    <t>66f0f769-8909-41ba-98fa-547216752b38</t>
  </si>
  <si>
    <t>20319038</t>
  </si>
  <si>
    <t>8721.00</t>
  </si>
  <si>
    <t>8110.53</t>
  </si>
  <si>
    <t>cb60fefc-c47e-430e-99b7-02a20d5f024a</t>
  </si>
  <si>
    <t>7770ca8d-ac69-4006-81b8-4ea71f217475</t>
  </si>
  <si>
    <t>2023-04-03</t>
  </si>
  <si>
    <t>91103321</t>
  </si>
  <si>
    <t>885.00</t>
  </si>
  <si>
    <t>823.05</t>
  </si>
  <si>
    <t>eb1c3ba4-5b9e-42d0-ab0c-9fddb61b03e9</t>
  </si>
  <si>
    <t>08439ba1-2afd-45c3-a748-4ffbbfd9de84</t>
  </si>
  <si>
    <t>35686156</t>
  </si>
  <si>
    <t>2093.00</t>
  </si>
  <si>
    <t>3558.1</t>
  </si>
  <si>
    <t>688181a8-13d1-4a49-ad46-9bf4d5cf2dc4</t>
  </si>
  <si>
    <t>185aeb98-3d9f-4e80-bba6-857733964543</t>
  </si>
  <si>
    <t>91561855</t>
  </si>
  <si>
    <t>4361.00</t>
  </si>
  <si>
    <t>3968.51</t>
  </si>
  <si>
    <t>9aa909f1-5adf-4d04-b0d2-27180dd35d11</t>
  </si>
  <si>
    <t>11d56acf-680f-45e2-a0c3-6cdd9937f592</t>
  </si>
  <si>
    <t>1044027</t>
  </si>
  <si>
    <t>2233.00</t>
  </si>
  <si>
    <t>3796.1</t>
  </si>
  <si>
    <t>417df4f8-c1a7-4e00-9ec1-2fa2e6df12ce</t>
  </si>
  <si>
    <t>366e3cca-8c47-4390-941c-c2bce3352f8b</t>
  </si>
  <si>
    <t>15542762</t>
  </si>
  <si>
    <t>681.00</t>
  </si>
  <si>
    <t>619.71</t>
  </si>
  <si>
    <t>d95e17e1-900f-42f7-8f4b-4ed5ac1d02e8</t>
  </si>
  <si>
    <t>7de5b4a3-37ef-473e-b2de-c6d586901942</t>
  </si>
  <si>
    <t>33116273</t>
  </si>
  <si>
    <t>9567.00</t>
  </si>
  <si>
    <t>25256.88</t>
  </si>
  <si>
    <t>2e402534-6987-4052-b421-9d3ecdc39412</t>
  </si>
  <si>
    <t>dbf9a793-ecb9-4b39-b103-d90417426bd0</t>
  </si>
  <si>
    <t>98788200</t>
  </si>
  <si>
    <t>6300.00</t>
  </si>
  <si>
    <t>21168</t>
  </si>
  <si>
    <t>439f4b86-cd6a-4e0c-b427-965607db34e0</t>
  </si>
  <si>
    <t>9a924849-2156-4d5e-8361-50061981f0d4</t>
  </si>
  <si>
    <t>10723593</t>
  </si>
  <si>
    <t>4299.00</t>
  </si>
  <si>
    <t>3568.17</t>
  </si>
  <si>
    <t>106861d3-633d-4c54-b304-59cc30c42d61</t>
  </si>
  <si>
    <t>851143e5-93aa-4480-8cdc-538931ffba99</t>
  </si>
  <si>
    <t>1884241</t>
  </si>
  <si>
    <t>2118.00</t>
  </si>
  <si>
    <t>3727.68</t>
  </si>
  <si>
    <t>06b42b6f-1f94-43c8-98a7-75945b8c4949</t>
  </si>
  <si>
    <t>99cb37c7-6e7f-4ad2-9efb-00b7a397b217</t>
  </si>
  <si>
    <t>2023-06-09</t>
  </si>
  <si>
    <t>56160482</t>
  </si>
  <si>
    <t>8030.00</t>
  </si>
  <si>
    <t>29229.2</t>
  </si>
  <si>
    <t>675d0855-2d55-40c9-8576-598359cd012a</t>
  </si>
  <si>
    <t>e9b74954-a41a-4d31-9d5e-b2d16518020a</t>
  </si>
  <si>
    <t>46957405</t>
  </si>
  <si>
    <t>7234.00</t>
  </si>
  <si>
    <t>13310.56</t>
  </si>
  <si>
    <t>сумма замовлення без знижки</t>
  </si>
  <si>
    <t>кількість унікальних заказів</t>
  </si>
  <si>
    <t>кількість унікальних кліентів</t>
  </si>
  <si>
    <t>загальна кількість одиниць</t>
  </si>
  <si>
    <t>загальна сума замовлень</t>
  </si>
  <si>
    <t>середня сума замовленя</t>
  </si>
  <si>
    <t>загальна сума замовлень без знижки</t>
  </si>
  <si>
    <t>середня сума замовлення без знижки</t>
  </si>
  <si>
    <t>середній процент знижки</t>
  </si>
  <si>
    <t>медіана суми замовлень</t>
  </si>
  <si>
    <t>середня кількість одиниць замовлення</t>
  </si>
  <si>
    <t>медіана кількость одиниць замовлень</t>
  </si>
  <si>
    <t>мода кількості одиниць</t>
  </si>
  <si>
    <t>Датасет не містить пропущених даних та дублікатів, усі дані заповнені коректно, згідно формату даних.</t>
  </si>
  <si>
    <t>Кількість унікальних кліентів збігається з кількістю унікильних замовлень - це свідчить про те, що відсутня регістрація при  оформленні замовлень.</t>
  </si>
  <si>
    <t>Зведена таблиця замовлень по місяцях 2023 року</t>
  </si>
  <si>
    <t>Графік коливань кількості замовлень, кількості одиниць замовлень, суми замовлень протягом року</t>
  </si>
  <si>
    <t>order_date - Month</t>
  </si>
  <si>
    <t>COUNTA of order_id</t>
  </si>
  <si>
    <t>SUM of quantity</t>
  </si>
  <si>
    <t>SUM of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</si>
  <si>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</si>
  <si>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</si>
  <si>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</si>
  <si>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</si>
  <si>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</si>
  <si>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</si>
  <si>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</si>
  <si>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</si>
  <si>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</si>
  <si>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</si>
  <si>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</si>
  <si>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</si>
  <si>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</si>
  <si>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 xml:space="preserve">Основні метрики </t>
  </si>
  <si>
    <t>Значення</t>
  </si>
  <si>
    <t>На основі графіку коливань та таблиці основних метрик видно,</t>
  </si>
  <si>
    <t xml:space="preserve">що дані не мають аномалій та викидів, мають різвномірний </t>
  </si>
  <si>
    <t>розподіл (середні значення та медіана однакові або мають незначне</t>
  </si>
  <si>
    <t>відхилення).</t>
  </si>
  <si>
    <t>Розподіл категорій замовлень по країнах</t>
  </si>
  <si>
    <t>З диаграми ми бачим, що найбільша частка замовлень належить Німеччині та США. Хоча відхилення між іншими країнами є незначними.</t>
  </si>
  <si>
    <t xml:space="preserve">Діаграма в розрізі категорій товарів демонструє кількісну частку кожної категорії по країнах.  </t>
  </si>
  <si>
    <t>Найбільша кількість одиниць замовлень в категорії books та home, найменьша кількість в категорії clothing.</t>
  </si>
  <si>
    <t>Таблиця розподілу країн по статусу доставки</t>
  </si>
  <si>
    <t>CAR</t>
  </si>
  <si>
    <t>співведношення доставлених замовлень до загальної кількості замовлень</t>
  </si>
  <si>
    <t xml:space="preserve">Дані показуть, що відсоток повернень та відхилених замовлень високі. </t>
  </si>
  <si>
    <t>Відсоток доставлених заказів є найменшим. Показник CAR майже 77%.</t>
  </si>
  <si>
    <t>Також вагомий відсоток незавершених замовлень - невідомо в який статус вони трансформуються (повернення, відміна, доставлено).</t>
  </si>
  <si>
    <t>З даних видно, що повернення та відмінені замовлення найбільші за сумою.</t>
  </si>
  <si>
    <t>Категорія книги та іграшки мають найбільші суми замовлень.</t>
  </si>
  <si>
    <t>За рахунок збільшення суми замовлення видно збільшення загальної суми замовлень.</t>
  </si>
  <si>
    <t>Аналіз замовлень за 2023 рік</t>
  </si>
  <si>
    <t>Розподіл загальної суми замовлень по категоріях</t>
  </si>
  <si>
    <t>Розподіл загальної суми замовлень за статусом доставки</t>
  </si>
  <si>
    <t>Інсайти</t>
  </si>
  <si>
    <t>Відсутня регістрація при  оформленні замовлень. Немає аналізу поведінки кліентів.</t>
  </si>
  <si>
    <t xml:space="preserve">Вагома частка недоставлених, скасованих та незавершених замовлень. </t>
  </si>
  <si>
    <t>Статус доставлених замовлень найнижчий 23%. CAR  майже 77% співвідношення доставлених замовлень до загальної кількості.</t>
  </si>
  <si>
    <t>Дані немають викидів та аномалій, мають рівномірний розподіл.</t>
  </si>
  <si>
    <t>Гіпотези підтверджено, спростовано</t>
  </si>
  <si>
    <t>Датасет не містить пропущених даних та дублікатів, усі дані заповнені коректно - згідно формату даних.</t>
  </si>
  <si>
    <t xml:space="preserve">На основі графіку коливань та таблиці основних метрик видно, що дані не мають аномалій та викидів, </t>
  </si>
  <si>
    <t>мають різвномірний розподіл (середні значення та медіана однакові або мають незначне відхилення).</t>
  </si>
  <si>
    <t>Немає реєстрації постійних кліентів - кількість унікальних кліентів збігається з кількістю унікильних замовлень.</t>
  </si>
  <si>
    <t xml:space="preserve">Виявлення високого чи низького попиту в категоріях товарів та країнах продаж. </t>
  </si>
  <si>
    <t>Розподіл  в розрізі країн та категоріях товарів майже рівномірний - немає явних лідерів та  аутсайдерів.</t>
  </si>
  <si>
    <t>Рекомендації</t>
  </si>
  <si>
    <t>Розробити реестрацію покупців - заснувати систему лояльності (дадаткові знижки за реєстрацію, бескоштовна доставка і т.п.)</t>
  </si>
  <si>
    <t>Збільшити середній чек, зменшивши розмір знижки. За рахунок збільшення суми замовлення, збільшити валовий прибуток.</t>
  </si>
  <si>
    <t xml:space="preserve">Надання знижки за реєстрацію - стимулювання покупця заереструватися. </t>
  </si>
  <si>
    <t xml:space="preserve">Дослідити та виявити причину скасованих замовлень, повернених замовлень. </t>
  </si>
  <si>
    <t>Пришвидшити процес доставки. Спростити процес оплати. Виправити технічні помилки.</t>
  </si>
  <si>
    <t>Необхідно розробити систему дослідження покупця та розбити сервіс обслуговування  - налаштувати нагадування про кошик,  акції та знижки, бонусна система знижок тощо.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</si>
</sst>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#,##0.00;(#,##0.00)"/>
    <numFmt numFmtId="166" formatCode="m/d/yyyy h:mm:ss"/>
  </numFmts>
  <fonts count="2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FF0000"/>
      <name val="Arial"/>
      <scheme val="minor"/>
    </font>
    <font>
      <b/>
      <sz val="9.0"/>
      <color theme="1"/>
      <name val="Arial"/>
      <scheme val="minor"/>
    </font>
    <font>
      <sz val="8.0"/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b/>
      <sz val="18.0"/>
      <color rgb="FFA61C00"/>
      <name val="Arial"/>
      <scheme val="minor"/>
    </font>
    <font>
      <sz val="18.0"/>
      <color theme="1"/>
      <name val="Arial"/>
      <scheme val="minor"/>
    </font>
    <font>
      <b/>
      <sz val="11.0"/>
      <color rgb="FF000000"/>
      <name val="'Times New Roman'"/>
    </font>
    <font>
      <sz val="11.0"/>
      <color rgb="FF000000"/>
      <name val="'Times New Roman'"/>
    </font>
    <font>
      <b/>
      <sz val="9.0"/>
      <color rgb="FFFF0000"/>
      <name val="Arial"/>
      <scheme val="minor"/>
    </font>
    <font>
      <b/>
      <color rgb="FFA61C00"/>
      <name val="Arial"/>
    </font>
    <font>
      <color theme="1"/>
      <name val="Arial"/>
    </font>
    <font>
      <i/>
      <color theme="1"/>
      <name val="Arial"/>
    </font>
    <font>
      <color rgb="FFFFFFFF"/>
      <name val="Arial"/>
    </font>
    <font>
      <b/>
      <color theme="1"/>
      <name val="Arial"/>
    </font>
    <font>
      <b/>
      <color rgb="FFA61C00"/>
      <name val="Arial"/>
      <scheme val="minor"/>
    </font>
    <font>
      <b/>
      <sz val="14.0"/>
      <color rgb="FF2F2F37"/>
      <name val="Montserrat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4" xfId="0" applyAlignment="1" applyFont="1" applyNumberFormat="1">
      <alignment readingOrder="0"/>
    </xf>
    <xf borderId="0" fillId="0" fontId="1" numFmtId="1" xfId="0" applyAlignment="1" applyFont="1" applyNumberFormat="1">
      <alignment horizontal="left" readingOrder="0"/>
    </xf>
    <xf borderId="0" fillId="0" fontId="1" numFmtId="9" xfId="0" applyAlignment="1" applyFont="1" applyNumberFormat="1">
      <alignment horizontal="left" readingOrder="0"/>
    </xf>
    <xf borderId="0" fillId="0" fontId="2" numFmtId="165" xfId="0" applyAlignment="1" applyFont="1" applyNumberForma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quotePrefix="1" borderId="0" fillId="0" fontId="1" numFmtId="49" xfId="0" applyAlignment="1" applyFont="1" applyNumberFormat="1">
      <alignment readingOrder="0"/>
    </xf>
    <xf borderId="0" fillId="0" fontId="1" numFmtId="165" xfId="0" applyFont="1" applyNumberFormat="1"/>
    <xf borderId="0" fillId="0" fontId="1" numFmtId="0" xfId="0" applyFont="1"/>
    <xf borderId="0" fillId="0" fontId="1" numFmtId="1" xfId="0" applyFont="1" applyNumberFormat="1"/>
    <xf borderId="0" fillId="0" fontId="1" numFmtId="4" xfId="0" applyFont="1" applyNumberFormat="1"/>
    <xf borderId="0" fillId="0" fontId="1" numFmtId="10" xfId="0" applyFont="1" applyNumberFormat="1"/>
    <xf borderId="0" fillId="0" fontId="3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4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1" fillId="0" fontId="1" numFmtId="0" xfId="0" applyAlignment="1" applyBorder="1" applyFont="1">
      <alignment horizontal="center" shrinkToFit="0" wrapText="1"/>
    </xf>
    <xf borderId="1" fillId="0" fontId="1" numFmtId="166" xfId="0" applyBorder="1" applyFont="1" applyNumberFormat="1"/>
    <xf borderId="1" fillId="0" fontId="1" numFmtId="0" xfId="0" applyBorder="1" applyFont="1"/>
    <xf borderId="1" fillId="0" fontId="1" numFmtId="1" xfId="0" applyBorder="1" applyFont="1" applyNumberFormat="1"/>
    <xf borderId="1" fillId="0" fontId="1" numFmtId="4" xfId="0" applyBorder="1" applyFont="1" applyNumberFormat="1"/>
    <xf borderId="1" fillId="3" fontId="2" numFmtId="0" xfId="0" applyAlignment="1" applyBorder="1" applyFill="1" applyFont="1">
      <alignment readingOrder="0"/>
    </xf>
    <xf borderId="1" fillId="0" fontId="5" numFmtId="0" xfId="0" applyBorder="1" applyFont="1"/>
    <xf borderId="1" fillId="2" fontId="1" numFmtId="0" xfId="0" applyAlignment="1" applyBorder="1" applyFont="1">
      <alignment readingOrder="0"/>
    </xf>
    <xf borderId="1" fillId="0" fontId="1" numFmtId="165" xfId="0" applyBorder="1" applyFont="1" applyNumberFormat="1"/>
    <xf borderId="1" fillId="0" fontId="1" numFmtId="10" xfId="0" applyBorder="1" applyFont="1" applyNumberFormat="1"/>
    <xf borderId="0" fillId="0" fontId="2" numFmtId="0" xfId="0" applyAlignment="1" applyFont="1">
      <alignment readingOrder="0"/>
    </xf>
    <xf borderId="0" fillId="0" fontId="1" numFmtId="49" xfId="0" applyFont="1" applyNumberFormat="1"/>
    <xf borderId="1" fillId="0" fontId="1" numFmtId="49" xfId="0" applyBorder="1" applyFont="1" applyNumberFormat="1"/>
    <xf borderId="1" fillId="0" fontId="1" numFmtId="1" xfId="0" applyAlignment="1" applyBorder="1" applyFont="1" applyNumberFormat="1">
      <alignment horizontal="left"/>
    </xf>
    <xf borderId="0" fillId="2" fontId="3" numFmtId="0" xfId="0" applyAlignment="1" applyFont="1">
      <alignment readingOrder="0"/>
    </xf>
    <xf borderId="1" fillId="4" fontId="1" numFmtId="0" xfId="0" applyBorder="1" applyFill="1" applyFont="1"/>
    <xf borderId="1" fillId="4" fontId="1" numFmtId="49" xfId="0" applyBorder="1" applyFont="1" applyNumberFormat="1"/>
    <xf borderId="0" fillId="2" fontId="1" numFmtId="0" xfId="0" applyFont="1"/>
    <xf borderId="1" fillId="5" fontId="1" numFmtId="49" xfId="0" applyBorder="1" applyFill="1" applyFont="1" applyNumberFormat="1"/>
    <xf borderId="1" fillId="5" fontId="6" numFmtId="49" xfId="0" applyAlignment="1" applyBorder="1" applyFont="1" applyNumberFormat="1">
      <alignment horizontal="center" shrinkToFit="0" wrapText="0"/>
    </xf>
    <xf borderId="1" fillId="5" fontId="6" numFmtId="49" xfId="0" applyAlignment="1" applyBorder="1" applyFont="1" applyNumberFormat="1">
      <alignment horizontal="center"/>
    </xf>
    <xf borderId="1" fillId="5" fontId="6" numFmtId="0" xfId="0" applyAlignment="1" applyBorder="1" applyFont="1">
      <alignment horizontal="center"/>
    </xf>
    <xf borderId="0" fillId="2" fontId="6" numFmtId="0" xfId="0" applyAlignment="1" applyFont="1">
      <alignment horizontal="center" readingOrder="0"/>
    </xf>
    <xf borderId="0" fillId="2" fontId="2" numFmtId="0" xfId="0" applyFont="1"/>
    <xf borderId="1" fillId="2" fontId="1" numFmtId="0" xfId="0" applyAlignment="1" applyBorder="1" applyFont="1">
      <alignment horizontal="center" shrinkToFit="0" wrapText="1"/>
    </xf>
    <xf borderId="0" fillId="2" fontId="1" numFmtId="1" xfId="0" applyAlignment="1" applyFont="1" applyNumberFormat="1">
      <alignment horizontal="center" shrinkToFit="0" wrapText="1"/>
    </xf>
    <xf borderId="0" fillId="2" fontId="1" numFmtId="0" xfId="0" applyAlignment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0" fillId="2" fontId="1" numFmtId="0" xfId="0" applyAlignment="1" applyFont="1">
      <alignment horizontal="center"/>
    </xf>
    <xf borderId="0" fillId="0" fontId="1" numFmtId="1" xfId="0" applyFont="1" applyNumberFormat="1"/>
    <xf borderId="1" fillId="0" fontId="1" numFmtId="0" xfId="0" applyAlignment="1" applyBorder="1" applyFont="1">
      <alignment horizontal="center"/>
    </xf>
    <xf borderId="1" fillId="6" fontId="1" numFmtId="0" xfId="0" applyBorder="1" applyFill="1" applyFont="1"/>
    <xf borderId="1" fillId="6" fontId="1" numFmtId="0" xfId="0" applyAlignment="1" applyBorder="1" applyFont="1">
      <alignment horizontal="center"/>
    </xf>
    <xf borderId="0" fillId="2" fontId="2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Font="1"/>
    <xf borderId="1" fillId="3" fontId="10" numFmtId="0" xfId="0" applyAlignment="1" applyBorder="1" applyFont="1">
      <alignment horizontal="center" readingOrder="0" shrinkToFit="0" wrapText="1"/>
    </xf>
    <xf borderId="1" fillId="3" fontId="2" numFmtId="0" xfId="0" applyAlignment="1" applyBorder="1" applyFont="1">
      <alignment horizontal="center" shrinkToFit="0" wrapText="1"/>
    </xf>
    <xf borderId="1" fillId="0" fontId="10" numFmtId="0" xfId="0" applyAlignment="1" applyBorder="1" applyFont="1">
      <alignment horizontal="center" readingOrder="0"/>
    </xf>
    <xf borderId="1" fillId="0" fontId="1" numFmtId="1" xfId="0" applyAlignment="1" applyBorder="1" applyFont="1" applyNumberFormat="1">
      <alignment horizontal="center"/>
    </xf>
    <xf borderId="1" fillId="0" fontId="1" numFmtId="4" xfId="0" applyAlignment="1" applyBorder="1" applyFont="1" applyNumberFormat="1">
      <alignment horizontal="center"/>
    </xf>
    <xf borderId="1" fillId="0" fontId="1" numFmtId="165" xfId="0" applyAlignment="1" applyBorder="1" applyFont="1" applyNumberFormat="1">
      <alignment horizontal="center"/>
    </xf>
    <xf borderId="1" fillId="0" fontId="1" numFmtId="10" xfId="0" applyAlignment="1" applyBorder="1" applyFont="1" applyNumberFormat="1">
      <alignment horizontal="center"/>
    </xf>
    <xf borderId="0" fillId="0" fontId="11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7" fontId="15" numFmtId="0" xfId="0" applyAlignment="1" applyFill="1" applyFont="1">
      <alignment vertical="bottom"/>
    </xf>
    <xf borderId="0" fillId="7" fontId="15" numFmtId="49" xfId="0" applyAlignment="1" applyFont="1" applyNumberFormat="1">
      <alignment vertical="bottom"/>
    </xf>
    <xf borderId="0" fillId="7" fontId="14" numFmtId="0" xfId="0" applyAlignment="1" applyFont="1">
      <alignment vertical="bottom"/>
    </xf>
    <xf borderId="1" fillId="7" fontId="15" numFmtId="49" xfId="0" applyAlignment="1" applyBorder="1" applyFont="1" applyNumberFormat="1">
      <alignment vertical="bottom"/>
    </xf>
    <xf borderId="1" fillId="8" fontId="16" numFmtId="49" xfId="0" applyAlignment="1" applyBorder="1" applyFill="1" applyFont="1" applyNumberFormat="1">
      <alignment vertical="bottom"/>
    </xf>
    <xf borderId="1" fillId="8" fontId="16" numFmtId="0" xfId="0" applyAlignment="1" applyBorder="1" applyFont="1">
      <alignment vertical="bottom"/>
    </xf>
    <xf borderId="1" fillId="9" fontId="14" numFmtId="49" xfId="0" applyAlignment="1" applyBorder="1" applyFill="1" applyFont="1" applyNumberFormat="1">
      <alignment vertical="bottom"/>
    </xf>
    <xf borderId="1" fillId="2" fontId="14" numFmtId="1" xfId="0" applyAlignment="1" applyBorder="1" applyFont="1" applyNumberFormat="1">
      <alignment vertical="bottom"/>
    </xf>
    <xf borderId="1" fillId="7" fontId="17" numFmtId="0" xfId="0" applyAlignment="1" applyBorder="1" applyFont="1">
      <alignment vertical="bottom"/>
    </xf>
    <xf borderId="1" fillId="7" fontId="17" numFmtId="1" xfId="0" applyAlignment="1" applyBorder="1" applyFont="1" applyNumberFormat="1">
      <alignment vertical="bottom"/>
    </xf>
    <xf borderId="0" fillId="0" fontId="18" numFmtId="0" xfId="0" applyAlignment="1" applyFont="1">
      <alignment readingOrder="0"/>
    </xf>
    <xf borderId="0" fillId="2" fontId="19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990000"/>
                </a:solidFill>
                <a:latin typeface="+mn-lt"/>
              </a:defRPr>
            </a:pPr>
            <a:r>
              <a:rPr b="1">
                <a:solidFill>
                  <a:srgbClr val="990000"/>
                </a:solidFill>
                <a:latin typeface="+mn-lt"/>
              </a:rPr>
              <a:t>Продажі в розрізі категорій по країнам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EDA!$A$32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EDA!$B$31:$F$31</c:f>
            </c:strRef>
          </c:cat>
          <c:val>
            <c:numRef>
              <c:f>EDA!$B$32:$F$32</c:f>
              <c:numCache/>
            </c:numRef>
          </c:val>
        </c:ser>
        <c:ser>
          <c:idx val="1"/>
          <c:order val="1"/>
          <c:tx>
            <c:strRef>
              <c:f>EDA!$A$33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EDA!$B$31:$F$31</c:f>
            </c:strRef>
          </c:cat>
          <c:val>
            <c:numRef>
              <c:f>EDA!$B$33:$F$33</c:f>
              <c:numCache/>
            </c:numRef>
          </c:val>
        </c:ser>
        <c:ser>
          <c:idx val="2"/>
          <c:order val="2"/>
          <c:tx>
            <c:strRef>
              <c:f>EDA!$A$34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EDA!$B$31:$F$31</c:f>
            </c:strRef>
          </c:cat>
          <c:val>
            <c:numRef>
              <c:f>EDA!$B$34:$F$34</c:f>
              <c:numCache/>
            </c:numRef>
          </c:val>
        </c:ser>
        <c:ser>
          <c:idx val="3"/>
          <c:order val="3"/>
          <c:tx>
            <c:strRef>
              <c:f>EDA!$A$35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EDA!$B$31:$F$31</c:f>
            </c:strRef>
          </c:cat>
          <c:val>
            <c:numRef>
              <c:f>EDA!$B$35:$F$35</c:f>
              <c:numCache/>
            </c:numRef>
          </c:val>
        </c:ser>
        <c:ser>
          <c:idx val="4"/>
          <c:order val="4"/>
          <c:tx>
            <c:strRef>
              <c:f>EDA!$A$36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EDA!$B$31:$F$31</c:f>
            </c:strRef>
          </c:cat>
          <c:val>
            <c:numRef>
              <c:f>EDA!$B$36:$F$36</c:f>
              <c:numCache/>
            </c:numRef>
          </c:val>
        </c:ser>
        <c:overlap val="100"/>
        <c:axId val="1983556959"/>
        <c:axId val="1802228095"/>
      </c:barChart>
      <c:catAx>
        <c:axId val="198355695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3C78D8"/>
                    </a:solidFill>
                    <a:latin typeface="+mn-lt"/>
                  </a:defRPr>
                </a:pPr>
                <a:r>
                  <a:rPr b="0">
                    <a:solidFill>
                      <a:srgbClr val="3C78D8"/>
                    </a:solidFill>
                    <a:latin typeface="+mn-lt"/>
                  </a:rPr>
                  <a:t>категорії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802228095"/>
      </c:catAx>
      <c:valAx>
        <c:axId val="1802228095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C78D8"/>
                    </a:solidFill>
                    <a:latin typeface="+mn-lt"/>
                  </a:defRPr>
                </a:pPr>
                <a:r>
                  <a:rPr b="0">
                    <a:solidFill>
                      <a:srgbClr val="3C78D8"/>
                    </a:solidFill>
                    <a:latin typeface="+mn-lt"/>
                  </a:rPr>
                  <a:t>кількість одиниць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3556959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980000"/>
                </a:solidFill>
                <a:latin typeface="+mn-lt"/>
              </a:defRPr>
            </a:pPr>
            <a:r>
              <a:rPr b="1">
                <a:solidFill>
                  <a:srgbClr val="980000"/>
                </a:solidFill>
                <a:latin typeface="+mn-lt"/>
              </a:rPr>
              <a:t>Частка країн за обсягом замовлень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EDA!$G$30:$G$31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EDA!$A$32:$A$36</c:f>
            </c:strRef>
          </c:cat>
          <c:val>
            <c:numRef>
              <c:f>EDA!$G$32:$G$36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155CC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Розподіл замовлень по статусу доставки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EDA!$B$57:$B$59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EDA!$A$60:$A$63</c:f>
            </c:strRef>
          </c:cat>
          <c:val>
            <c:numRef>
              <c:f>EDA!$B$60:$B$63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980000"/>
                </a:solidFill>
                <a:latin typeface="+mn-lt"/>
              </a:defRPr>
            </a:pPr>
            <a:r>
              <a:rPr b="1">
                <a:solidFill>
                  <a:srgbClr val="980000"/>
                </a:solidFill>
                <a:latin typeface="+mn-lt"/>
              </a:rPr>
              <a:t>Частка країн за обсягом замовлень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EDA!$G$30:$G$31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EDA!$A$32:$A$36</c:f>
            </c:strRef>
          </c:cat>
          <c:val>
            <c:numRef>
              <c:f>EDA!$G$32:$G$36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155CC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990000"/>
                </a:solidFill>
                <a:latin typeface="+mn-lt"/>
              </a:defRPr>
            </a:pPr>
            <a:r>
              <a:rPr b="1">
                <a:solidFill>
                  <a:srgbClr val="990000"/>
                </a:solidFill>
                <a:latin typeface="+mn-lt"/>
              </a:rPr>
              <a:t>Замовлення в розрізі категорій по країнам</a:t>
            </a:r>
          </a:p>
        </c:rich>
      </c:tx>
      <c:overlay val="0"/>
    </c:title>
    <c:plotArea>
      <c:layout/>
      <c:barChart>
        <c:barDir val="bar"/>
        <c:grouping val="percentStacked"/>
        <c:ser>
          <c:idx val="0"/>
          <c:order val="0"/>
          <c:tx>
            <c:strRef>
              <c:f>EDA!$A$32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4285F4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EDA!$B$31:$F$31</c:f>
            </c:strRef>
          </c:cat>
          <c:val>
            <c:numRef>
              <c:f>EDA!$B$32:$F$32</c:f>
              <c:numCache/>
            </c:numRef>
          </c:val>
        </c:ser>
        <c:ser>
          <c:idx val="1"/>
          <c:order val="1"/>
          <c:tx>
            <c:strRef>
              <c:f>EDA!$A$33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EDA!$B$31:$F$31</c:f>
            </c:strRef>
          </c:cat>
          <c:val>
            <c:numRef>
              <c:f>EDA!$B$33:$F$33</c:f>
              <c:numCache/>
            </c:numRef>
          </c:val>
        </c:ser>
        <c:ser>
          <c:idx val="2"/>
          <c:order val="2"/>
          <c:tx>
            <c:strRef>
              <c:f>EDA!$A$34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EDA!$B$31:$F$31</c:f>
            </c:strRef>
          </c:cat>
          <c:val>
            <c:numRef>
              <c:f>EDA!$B$34:$F$34</c:f>
              <c:numCache/>
            </c:numRef>
          </c:val>
        </c:ser>
        <c:ser>
          <c:idx val="3"/>
          <c:order val="3"/>
          <c:tx>
            <c:strRef>
              <c:f>EDA!$A$35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EDA!$B$31:$F$31</c:f>
            </c:strRef>
          </c:cat>
          <c:val>
            <c:numRef>
              <c:f>EDA!$B$35:$F$35</c:f>
              <c:numCache/>
            </c:numRef>
          </c:val>
        </c:ser>
        <c:ser>
          <c:idx val="4"/>
          <c:order val="4"/>
          <c:tx>
            <c:strRef>
              <c:f>EDA!$A$36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EDA!$B$31:$F$31</c:f>
            </c:strRef>
          </c:cat>
          <c:val>
            <c:numRef>
              <c:f>EDA!$B$36:$F$36</c:f>
              <c:numCache/>
            </c:numRef>
          </c:val>
        </c:ser>
        <c:overlap val="100"/>
        <c:axId val="349528872"/>
        <c:axId val="492971227"/>
      </c:barChart>
      <c:catAx>
        <c:axId val="34952887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3C78D8"/>
                    </a:solidFill>
                    <a:latin typeface="+mn-lt"/>
                  </a:defRPr>
                </a:pPr>
                <a:r>
                  <a:rPr b="0">
                    <a:solidFill>
                      <a:srgbClr val="3C78D8"/>
                    </a:solidFill>
                    <a:latin typeface="+mn-lt"/>
                  </a:rPr>
                  <a:t>категорії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492971227"/>
      </c:catAx>
      <c:valAx>
        <c:axId val="492971227"/>
        <c:scaling>
          <c:orientation val="minMax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3C78D8"/>
                    </a:solidFill>
                    <a:latin typeface="+mn-lt"/>
                  </a:defRPr>
                </a:pPr>
                <a:r>
                  <a:rPr b="0">
                    <a:solidFill>
                      <a:srgbClr val="3C78D8"/>
                    </a:solidFill>
                    <a:latin typeface="+mn-lt"/>
                  </a:rPr>
                  <a:t>кількість одиниць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49528872"/>
        <c:crosses val="max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A61C00"/>
                </a:solidFill>
                <a:latin typeface="+mn-lt"/>
              </a:defRPr>
            </a:pPr>
            <a:r>
              <a:rPr b="1">
                <a:solidFill>
                  <a:srgbClr val="A61C00"/>
                </a:solidFill>
                <a:latin typeface="+mn-lt"/>
              </a:rPr>
              <a:t>Розподіл замовлень по статусу доставки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EDA!$B$57:$B$59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EDA!$A$60:$A$63</c:f>
            </c:strRef>
          </c:cat>
          <c:val>
            <c:numRef>
              <c:f>EDA!$B$60:$B$63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1.xml"/><Relationship Id="rId3" Type="http://schemas.openxmlformats.org/officeDocument/2006/relationships/chart" Target="../charts/chart2.xml"/><Relationship Id="rId4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1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image" Target="../media/image6.png"/><Relationship Id="rId6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1</xdr:row>
      <xdr:rowOff>0</xdr:rowOff>
    </xdr:from>
    <xdr:ext cx="5715000" cy="2886075"/>
    <xdr:pic>
      <xdr:nvPicPr>
        <xdr:cNvPr id="2117138756" name="Chart1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895350</xdr:colOff>
      <xdr:row>37</xdr:row>
      <xdr:rowOff>76200</xdr:rowOff>
    </xdr:from>
    <xdr:ext cx="5210175" cy="2724150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37</xdr:row>
      <xdr:rowOff>76200</xdr:rowOff>
    </xdr:from>
    <xdr:ext cx="3514725" cy="2724150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7</xdr:col>
      <xdr:colOff>9525</xdr:colOff>
      <xdr:row>53</xdr:row>
      <xdr:rowOff>95250</xdr:rowOff>
    </xdr:from>
    <xdr:ext cx="3609975" cy="25431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161925</xdr:colOff>
      <xdr:row>0</xdr:row>
      <xdr:rowOff>161925</xdr:rowOff>
    </xdr:from>
    <xdr:ext cx="6867525" cy="4629150"/>
    <xdr:pic>
      <xdr:nvPicPr>
        <xdr:cNvPr id="0" name="image2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0</xdr:rowOff>
    </xdr:from>
    <xdr:ext cx="5829300" cy="3448050"/>
    <xdr:pic>
      <xdr:nvPicPr>
        <xdr:cNvPr id="0" name="image3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19</xdr:row>
      <xdr:rowOff>85725</xdr:rowOff>
    </xdr:from>
    <xdr:ext cx="5514975" cy="3857625"/>
    <xdr:pic>
      <xdr:nvPicPr>
        <xdr:cNvPr id="0" name="image1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8353425</xdr:rowOff>
    </xdr:from>
    <xdr:ext cx="6086475" cy="3743325"/>
    <xdr:pic>
      <xdr:nvPicPr>
        <xdr:cNvPr id="0" name="image4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409575</xdr:colOff>
      <xdr:row>27</xdr:row>
      <xdr:rowOff>-85725</xdr:rowOff>
    </xdr:from>
    <xdr:ext cx="4876800" cy="4410075"/>
    <xdr:pic>
      <xdr:nvPicPr>
        <xdr:cNvPr id="0" name="image5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4</xdr:row>
      <xdr:rowOff>161925</xdr:rowOff>
    </xdr:from>
    <xdr:ext cx="5715000" cy="2886075"/>
    <xdr:pic>
      <xdr:nvPicPr>
        <xdr:cNvPr id="185638308" name="Chart5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76200</xdr:colOff>
      <xdr:row>18</xdr:row>
      <xdr:rowOff>47625</xdr:rowOff>
    </xdr:from>
    <xdr:ext cx="3228975" cy="2724150"/>
    <xdr:graphicFrame>
      <xdr:nvGraphicFramePr>
        <xdr:cNvPr id="6" name="Chart 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638175</xdr:colOff>
      <xdr:row>31</xdr:row>
      <xdr:rowOff>38100</xdr:rowOff>
    </xdr:from>
    <xdr:ext cx="3971925" cy="2724150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704850</xdr:colOff>
      <xdr:row>44</xdr:row>
      <xdr:rowOff>142875</xdr:rowOff>
    </xdr:from>
    <xdr:ext cx="3609975" cy="2724150"/>
    <xdr:graphicFrame>
      <xdr:nvGraphicFramePr>
        <xdr:cNvPr id="8" name="Chart 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342900</xdr:colOff>
      <xdr:row>47</xdr:row>
      <xdr:rowOff>57150</xdr:rowOff>
    </xdr:from>
    <xdr:ext cx="5038725" cy="1990725"/>
    <xdr:pic>
      <xdr:nvPicPr>
        <xdr:cNvPr id="0" name="image6.png" title="Изображение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31</xdr:row>
      <xdr:rowOff>180975</xdr:rowOff>
    </xdr:from>
    <xdr:ext cx="5610225" cy="2600325"/>
    <xdr:pic>
      <xdr:nvPicPr>
        <xdr:cNvPr id="0" name="image7.png" title="Изображение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Довбыш Мария" id="{2be59d7d-cce0-4203-8128-0391177346b7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601" sheet="Data-cleaning"/>
  </cacheSource>
  <cacheFields>
    <cacheField name="order_id" numFmtId="49">
      <sharedItems>
        <s v="e3e70682-c209-4cac-a29f-6fbed82c07cd"/>
        <s v="f728b4fa-4248-4e3a-8a5d-2f346baa9455"/>
        <s v="eb1167b3-67a9-4378-bc65-c1e582e2e662"/>
        <s v="f7c1bd87-4da5-4709-9471-3d60c8a70639"/>
        <s v="e443df78-9558-467f-9ba9-1faf7a024204"/>
        <s v="23a7711a-8133-4876-b7eb-dcd9e87a1613"/>
        <s v="1846d424-c17c-4279-a3c6-612f48268673"/>
        <s v="fcbd04c3-4021-4ef7-8ca5-a5a19e4d6e3c"/>
        <s v="b4862b21-fb97-4435-8856-1712e8e5216a"/>
        <s v="259f4329-e6f4-490b-9a16-4106cf6a659e"/>
        <s v="12e0c8b2-bad6-40fb-9948-8dec4f65d4d9"/>
        <s v="5487ce1e-af19-422a-99b8-a714e61a441c"/>
        <s v="5a921187-19c7-4df4-8f4f-f31e78de5857"/>
        <s v="a3f2c9bf-9c63-46b9-90f2-44556f25e2a2"/>
        <s v="8d723104-f773-43c1-b458-a748e9bb17bc"/>
        <s v="85776e9a-dd84-439e-b154-5a137a1d5006"/>
        <s v="eb2083e6-ce16-4dba-8ff1-8e0242af9fc3"/>
        <s v="17e0aa3c-0398-4ca8-aa7e-9d498c778ea6"/>
        <s v="b5d32b16-6619-4cb1-9710-37d1b83e90ec"/>
        <s v="a0116be5-ab0c-4681-88f8-e3d0d3290a4c"/>
        <s v="d3fbf47a-7e5b-4e7f-9ca5-499d004ae545"/>
        <s v="baf3897a-3e70-416a-9548-5822de1b372a"/>
        <s v="101fbccc-ded7-43e8-b421-eaeb534097ca"/>
        <s v="38c1962e-9148-424f-aac1-c14f30e9c5cc"/>
        <s v="247a8333-f7b0-47d2-8da8-056c3d15eef7"/>
        <s v="1759edc3-72ae-4244-8b01-63c1cd9d2b7d"/>
        <s v="e005b860-51ef-4922-be43-c49e149818d1"/>
        <s v="7d41e602-eece-428b-bf7b-118e820865d6"/>
        <s v="4a84eb03-8d1f-49b7-8d2b-9deb1beb3711"/>
        <s v="552f233a-8c25-466a-9ff3-9849b4e1357d"/>
        <s v="3405095c-8a50-46c1-ac18-8efbd080e66e"/>
        <s v="8c1745a7-9a6a-4f92-8ca7-4147f6be1f72"/>
        <s v="1775336d-71ea-4d05-89a3-e80e966e1277"/>
        <s v="5129fb7c-6288-41a5-8c45-782198a6416d"/>
        <s v="2f120554-4a53-48cc-bdfa-bc08935ddd72"/>
        <s v="0870e15c-2fcd-41b5-924b-ace4307bf326"/>
        <s v="42930b33-a81a-4477-bb36-75b89cdeb3e6"/>
        <s v="adc0da7a-16fe-4aa0-91af-923d79fdef7c"/>
        <s v="2648ee38-e074-45eb-a156-63abc1f254b8"/>
        <s v="148b2758-d7ab-4928-89e4-69e6ec62b2c8"/>
        <s v="d450fe4a-ec4f-417b-b306-d1a8e5eeac76"/>
        <s v="d67e55fd-642b-4a42-aef9-c00b8a64c1b9"/>
        <s v="85940927-468f-453d-864a-7a50b48d73f1"/>
        <s v="37176e84-d977-4993-bc49-d76fcfc6e625"/>
        <s v="d3447490-96fd-45d0-adf2-0806e5214606"/>
        <s v="46743741-9466-4472-ab5f-5241f323ca74"/>
        <s v="a425799a-a905-4750-be1e-a9c573581a81"/>
        <s v="fb82860d-eabc-48d0-b341-facdff0ac0f1"/>
        <s v="5306f3f5-1516-4570-9b7c-709acb175a5a"/>
        <s v="964a870c-7c87-4b74-9d87-8f9f9cdf5a86"/>
        <s v="30bcab0e-d857-4102-95d4-4936a1515607"/>
        <s v="4562be7f-bb42-40b2-8426-465e3e37952d"/>
        <s v="5f3f5638-3870-4a14-b490-b6081dfc8352"/>
        <s v="6d16ee18-5521-46dd-aba4-b180cb69ca38"/>
        <s v="c87a7463-19c1-4a0d-8feb-d845d0dfae43"/>
        <s v="38018b47-b29a-4b06-9af6-6c5f2577bffa"/>
        <s v="a25b59fd-92e8-4269-912e-cbc40b9475b1"/>
        <s v="9a27d858-88c1-42ad-afbf-c19ee8f6cf32"/>
        <s v="1fdb8b32-06d5-49e8-92f1-75ffae3b16ec"/>
        <s v="d480865f-9b38-4e80-b042-e325a28f5ab0"/>
        <s v="176ea1b1-6426-4cd5-9ea4-5cd69371a71f"/>
        <s v="1db53334-fb03-43a1-9576-d4155ec17dbe"/>
        <s v="31d0b664-0589-4877-9b02-52440950fd13"/>
        <s v="b7d6467b-2f5a-422a-b87f-43fdf6062541"/>
        <s v="ba26d851-35e8-479a-baaf-0e891fb797fa"/>
        <s v="ade9b2b4-efdd-45f8-8fa3-4266ccfdba9b"/>
        <s v="9edfa3da-6cf5-4b15-8b53-031d05d51433"/>
        <s v="11ebcd49-428a-4c22-95fd-b76a19fbeb1d"/>
        <s v="4d125e7f-a59c-4c98-926c-bc8f38884479"/>
        <s v="0fa07a3f-2e29-4065-afa2-31e959acdd98"/>
        <s v="98b33c6e-0a14-490a-b795-e98680ee526e"/>
        <s v="642aad48-fcfc-4a81-b306-d70019d5f970"/>
        <s v="e786ab37-5bca-47be-8298-17c53308fb2e"/>
        <s v="e6fd68e8-d69c-41c2-b860-1602bb4a06cb"/>
        <s v="b29c467d-2b5f-4932-91dc-59efeb21a3f6"/>
        <s v="c470f0e7-f76f-4fb8-b412-fc12ac322c12"/>
        <s v="28805c5d-ad1b-4f60-89e4-dab20edc6d2b"/>
        <s v="878b9f6b-57a1-4b71-a975-d279d86dbf11"/>
        <s v="ebe21368-98c7-4205-9e01-a934402d0baf"/>
        <s v="0361524c-2cc0-4859-aa65-24ab713b7e05"/>
        <s v="e66cd36e-68ef-4f5f-ae68-690a78bc7175"/>
        <s v="eae2025e-8233-4e23-9ff3-334b91b15f5d"/>
        <s v="637e0edc-5b6e-4ae7-a620-81434fbaecc0"/>
        <s v="27460f22-403d-4f83-a859-890cd670f668"/>
        <s v="753c7c99-032f-46ca-b0d9-c2aa8f837ef7"/>
        <s v="bd30291a-55fe-408e-943e-2e04bdd7d19b"/>
        <s v="2284b7a4-47e7-4593-8b58-85ca0bb2c3f0"/>
        <s v="7b59051b-f400-48d7-831d-5a973d792fa1"/>
        <s v="ac642b4c-49b2-4ded-9c31-d9b25a2b745b"/>
        <s v="e456697c-f268-4baa-971c-702d5bf49c04"/>
        <s v="21e15094-9efe-4464-9a90-f534a23d4c9d"/>
        <s v="bf9cc545-6355-48f7-8f6f-a985b732d46f"/>
        <s v="14aa451c-a69c-4b85-9432-f8db6a174c1c"/>
        <s v="b2d650af-313b-42b7-9836-31890063e42f"/>
        <s v="391cf046-3d4a-4d51-a8fa-fd04559b5975"/>
        <s v="b5d97ef7-60ef-4471-b2b8-ff39a32c9b6f"/>
        <s v="dfe1b307-9172-4f0a-ac7c-8803e01bbf50"/>
        <s v="df26f517-66fa-4989-8813-5d586a1689ad"/>
        <s v="c5adf681-6b10-453a-9145-de05b3ab1b2c"/>
        <s v="2a69acc7-0bf9-40ef-b581-6b74a985ab61"/>
        <s v="b3969057-425c-4200-905a-da6b720299e3"/>
        <s v="e28bc9ff-870f-484c-b244-f536285e25b4"/>
        <s v="9a9e4310-8fb8-4bab-a875-4cd37cbd7025"/>
        <s v="09f6048f-e245-4460-8004-884cc167733f"/>
        <s v="d675ebf7-4fe3-4c9a-9371-0f577e9cf84f"/>
        <s v="d29dc5df-cf1d-4110-8cc3-6d8c77863fe5"/>
        <s v="6a46721a-cffa-4cdd-b963-a7efe00111e5"/>
        <s v="f689a4a5-ffda-4336-8c6e-90373020da5c"/>
        <s v="d663049d-155e-48b1-ba83-ada4a2121ac5"/>
        <s v="03c54c71-fca0-4536-a169-df82b9bdee2d"/>
        <s v="6ae04d52-adb3-48cb-b315-8c0c66dd7794"/>
        <s v="03a89879-36a9-4d74-80de-59f550f0fc2b"/>
        <s v="faf1501b-009a-415b-8137-8be5b7a28e0a"/>
        <s v="9cb017c1-8741-4e91-acfe-bb4bd29e8693"/>
        <s v="9bbd750d-1e70-4c52-b0c1-fb6a19086515"/>
        <s v="4d6b234f-dfa7-46ed-b2d1-f81ba636425c"/>
        <s v="2ea60b99-fa7f-48bf-b044-284a47acf2f6"/>
        <s v="ec3aa314-da9b-4017-b9c1-47c719a5711b"/>
        <s v="0597aab6-14d3-4dbc-a0ac-f4c9658de17e"/>
        <s v="ccc14d51-73f6-40d8-a9f4-1cc04653a560"/>
        <s v="41a93f90-dc82-4527-9da3-b7e2cad6e514"/>
        <s v="d138d150-8557-416a-a750-2a812227d96d"/>
        <s v="1d77ce40-58d8-4776-a51a-d4f3a699bae0"/>
        <s v="d9ead926-4745-4d9e-a789-6389df3277fd"/>
        <s v="34ab18fd-0a68-488e-8ad4-041504c14982"/>
        <s v="50910bdc-8ef0-46d4-8279-b14dae55cdff"/>
        <s v="914591ae-f03d-466a-9dec-c06af24dfdd8"/>
        <s v="d8ab0b30-0ac0-4f0d-9974-c146e8ec01b3"/>
        <s v="9b8b71a1-b38a-45fb-b611-64cebfc74ca9"/>
        <s v="a4e695c9-b65d-4226-be96-9cf3a7c5cb87"/>
        <s v="6f790959-a3e0-4b3b-b56b-0715e7180322"/>
        <s v="2da44da1-89b5-4368-9f14-c6125f58d5b5"/>
        <s v="4a814d53-964d-4b77-a025-f0ae35354579"/>
        <s v="4578bab3-26a9-4465-a371-ea2c0247145f"/>
        <s v="5e00ea6d-ca24-4e4d-9667-2017555a4085"/>
        <s v="c787ddfb-5697-417c-97fd-3736b7ef941c"/>
        <s v="4505f4f6-0a8c-46c7-8921-5f4f9edb95f2"/>
        <s v="955d0e77-fb5e-4866-a640-211e29f2c3c7"/>
        <s v="fd42f697-6511-4656-9c64-60364a1eb1b7"/>
        <s v="1d69d9fc-4b1c-48bd-a130-260c8c69778f"/>
        <s v="ef0a81ed-3d5d-40bc-bb03-78eb7a62722e"/>
        <s v="db66bfda-2df9-4747-8ed1-35530c5a876f"/>
        <s v="4d7bd307-1224-41e6-ba89-82dd85e69ea9"/>
        <s v="4c9a0ae1-5419-4efc-95e7-3e3f673617d9"/>
        <s v="8f928dc5-1972-4ce3-9bd0-94486a2b3200"/>
        <s v="564ae909-7958-4e69-bb2e-1b82e89dc815"/>
        <s v="cff4c56b-f9ea-4c64-8c41-7e7cd741d609"/>
        <s v="1db2b452-7aa5-4a18-9fd3-c01757f98d1e"/>
        <s v="09aedbd0-6d31-4b4a-bf6b-8793b318ad4c"/>
        <s v="afe6790a-bc18-440b-95c7-ed9d4d4985dc"/>
        <s v="2aa36cf7-eb70-4a65-a7d9-9a23e4f7625e"/>
        <s v="ce5dc807-6025-4199-9082-3edaa0722aa0"/>
        <s v="16408169-a38d-4afc-bdd2-ed7af97ccc57"/>
        <s v="32b2c492-15ac-47a1-8eca-2ee310da8a95"/>
        <s v="62830869-0fa7-4e05-b897-4df5bff773ce"/>
        <s v="8e751eb7-64d0-4913-991b-8adf0202861c"/>
        <s v="eb8f2056-72d3-4c5d-8a31-b24384dd6da6"/>
        <s v="b6e355f6-95bb-440d-89cd-4af97d161f29"/>
        <s v="156af458-6c4c-4935-b79d-eda1ade6c5e9"/>
        <s v="ffc573d5-fd0b-470e-b85a-f4635e4af862"/>
        <s v="2aa50f4e-c6f0-4933-95d1-805142cb6d1d"/>
        <s v="1d7173e5-5bc7-4deb-b123-4efe6e648043"/>
        <s v="da54f267-dd13-4266-926d-53961058fe8c"/>
        <s v="869bdbd2-e72b-45b7-8712-0911b3b68b57"/>
        <s v="33a1d1c2-ad4a-4155-809f-cd8f739cd488"/>
        <s v="41a8a6e1-65e0-4993-bf41-1fed1e70e799"/>
        <s v="ff3e0ba1-0ac7-48b4-a418-65bf350d278d"/>
        <s v="9f982188-3744-4a64-8c24-9558f2ad985f"/>
        <s v="755a3ac1-32ae-4a20-9ac9-02ee25777cf0"/>
        <s v="d3b564b0-8be0-4c3e-9c94-938160c6b3ed"/>
        <s v="98a33736-fd1a-47ce-9ad0-a6f226bdd974"/>
        <s v="905c053b-25fd-4cbe-bce7-1b48fba52e59"/>
        <s v="6c596216-ae0f-4bc8-a36b-cb0167e98363"/>
        <s v="ade7cef3-7ed2-4c2f-856f-3d95e0ae1a1b"/>
        <s v="d5627386-528c-4241-a345-ac72eac39204"/>
        <s v="a2939b3b-7fa7-4d8a-bf88-ec827f99d273"/>
        <s v="8af58903-33b5-43ce-9fec-4623ab899605"/>
        <s v="027c013f-3801-4399-ae6a-8e2f9c19ed34"/>
        <s v="bf3df0bb-f66a-4168-b4a1-ca795718ada2"/>
        <s v="52631db9-d170-44ce-9179-7350e6256403"/>
        <s v="dfde2281-25fb-4f3d-866d-7002091472ad"/>
        <s v="27e969e2-c8bf-43fb-9a43-1f7a41c30359"/>
        <s v="4b5ca436-953c-478e-a106-7a8cd7a3283c"/>
        <s v="786e30ef-ce9b-4e70-b4d4-dfccb7d779cc"/>
        <s v="843b2a7d-15ab-4c21-8cc9-3ff710fce97d"/>
        <s v="10fc9eee-0a17-47f7-aa5f-24b6de6fec4b"/>
        <s v="4cea2df0-0a66-4c4e-a168-1081399f8a8f"/>
        <s v="72d6bc20-d80d-4a1c-8247-2fd603e9ba02"/>
        <s v="ccf719ab-2922-4bd8-9ca5-b35354a1d505"/>
        <s v="75f2bc20-a7f5-495c-9e62-d43f261908b9"/>
        <s v="61d9fe39-8147-48f4-9f0e-f320f7f60e7f"/>
        <s v="089b30a0-809f-4923-87a1-798fe6addd9e"/>
        <s v="cb4d18d6-adb6-4a35-9734-a26c92e94e89"/>
        <s v="99a2ecb1-c202-487b-849b-8a44ce1bb02a"/>
        <s v="6d265dd8-bf39-4fbb-938c-3460fd938adc"/>
        <s v="4a276dda-34c3-494a-812e-a9b8e7e13ed8"/>
        <s v="6af79ad2-993e-48c6-a6b1-06e289110af0"/>
        <s v="d872298c-7b72-490b-b8f8-f071d360da69"/>
        <s v="9b8086da-6379-4035-b8e4-5086ca819c6f"/>
        <s v="dd620222-d9ef-428b-bbcb-50b3961d8dcf"/>
        <s v="e2a01335-a830-43ab-853e-4b42cc4da021"/>
        <s v="4d6cd782-2e95-43ea-bda1-7da2000fc63d"/>
        <s v="552ae5ca-4124-405b-91fc-fe8881c16e98"/>
        <s v="4312ece2-dc21-41e1-be56-ac3d10cc8711"/>
        <s v="c5c14262-4d84-4ec5-9334-886ff164f9d8"/>
        <s v="6238d0a0-cf5e-4ea3-a258-4ab368777bab"/>
        <s v="ef7e85ec-a417-456f-a9ee-7f3d0ff030b8"/>
        <s v="babd4745-497e-4f1a-bd2b-f042209818d1"/>
        <s v="f11ddff7-0e37-4526-9582-a3bdd476fe38"/>
        <s v="2412579d-6af9-44e0-bb38-785b0932f5b6"/>
        <s v="9a1a7d6f-dd02-4100-a3d4-84087de8a234"/>
        <s v="b2ddc481-ac6d-4df8-94e5-064cb799ae8e"/>
        <s v="5a4f4145-fc98-4279-8f6f-111c26c06e67"/>
        <s v="775e0ec3-9c9d-43f3-8901-8aee69407be7"/>
        <s v="19faa06e-0c0a-4967-b579-501a62fda854"/>
        <s v="052daad3-26c0-4984-8734-bb05788c31f6"/>
        <s v="21f8c156-9e0d-445b-992a-34a1084fa819"/>
        <s v="b3386c3e-1af4-487f-92eb-dac5a1457899"/>
        <s v="31e9ca80-58bf-4b9e-a624-5b598c94af98"/>
        <s v="c707aef9-c6c3-444c-888e-03b662276cbc"/>
        <s v="0f66b32d-e19b-4837-9c6a-4b5e7d859725"/>
        <s v="9d44c93e-7799-48e2-b368-c5539c30ceaa"/>
        <s v="a6855857-567e-4862-af15-1673a1df3da7"/>
        <s v="b6af98b2-aeba-42d0-b830-32491fd3af07"/>
        <s v="d960af85-c9df-4e44-8bdf-fa7d9f3dd894"/>
        <s v="633cbf79-e96a-41af-b55e-3aa2208a393e"/>
        <s v="beebb4ea-eab9-421b-8b36-b545cca1a034"/>
        <s v="fbbff9e0-ae56-402a-b521-ca9fdf5e6f78"/>
        <s v="dc45488d-84dd-49b9-9f1e-0ee9cf6c9992"/>
        <s v="09c67417-306a-4871-beef-71cbc915d113"/>
        <s v="5f1ff97c-71cf-4814-a45b-d776c838a145"/>
        <s v="5b471c43-7499-428c-b0c3-2323c1b199c4"/>
        <s v="f4dd05d5-1349-447a-a1cb-a182ca20854d"/>
        <s v="0a3c2c6f-ef2d-4a38-a6e4-b8df0b6d9611"/>
        <s v="06d2ed7c-e6ac-4d8a-8160-ff927c7550f2"/>
        <s v="91bacf80-aaa0-4996-8522-dc4ef1dd50bf"/>
        <s v="3acaaf82-374a-4cc9-a039-7e67926146de"/>
        <s v="e27ac8e9-d1c3-41bc-86be-643217ee0eb0"/>
        <s v="809e2109-c786-4a38-a09f-1aede38690e7"/>
        <s v="81d1bf06-6b8c-46f2-8611-f583b2d10e3d"/>
        <s v="254bf7ae-1d0a-4994-b20b-575d4e28e674"/>
        <s v="6c0be55c-90e6-49e1-a44f-c3a96d0c62c3"/>
        <s v="1ad1daaa-ef8d-4ff0-9583-1feeec41e6f6"/>
        <s v="6a480542-1965-4435-901b-b5fa6a677623"/>
        <s v="f45da406-bbf9-4b01-a7f9-e728c618fc1e"/>
        <s v="6e5bac20-725c-4675-8a95-71e407dc02b1"/>
        <s v="7f22cd12-07b6-408e-aac1-ca75afb918c8"/>
        <s v="53125ffd-f655-460b-9d32-e231eb561699"/>
        <s v="5a3da367-141b-4a1b-80a9-78bfb8f8903b"/>
        <s v="b1182d23-5bf8-4676-9f12-a0e912011caa"/>
        <s v="2d8b5b41-590e-43da-986f-1721078548d7"/>
        <s v="3b019fcb-f96d-4403-948c-93f3028d042b"/>
        <s v="98ba0f0e-120d-4126-9da5-3b38d1aa6c5e"/>
        <s v="00d3d1af-353e-4c86-a4ae-ba79e4b82987"/>
        <s v="bb6b0095-ac7b-4ab2-a8b5-6f85346d2b7e"/>
        <s v="bf7b68ae-1f89-41b6-a6a1-a40bf031f4b9"/>
        <s v="b080e003-5e7f-403c-8b13-47f601d6d903"/>
        <s v="3b9cea95-9ad7-458f-aecb-325b064f768d"/>
        <s v="743c7e9d-2fde-4035-a452-bc39dbf2eed1"/>
        <s v="b51d70d8-582d-4972-ba08-9ca81cc5a8a0"/>
        <s v="0726d44a-2152-43c7-821a-a15ef58c43ce"/>
        <s v="55c36c3d-5cbb-4080-b547-5c5ef76dce6e"/>
        <s v="4bdd5f99-4ae9-4e11-b5fe-0213792ecd75"/>
        <s v="8d9ecfb9-f549-4e22-a0df-7f74efe78b60"/>
        <s v="97d01e70-2f1d-4bef-93b5-3b92a2cb5f38"/>
        <s v="88819f42-1a42-4629-94af-e646fe3216bd"/>
        <s v="606821d6-280a-47ee-8ec9-85ff94b28b9d"/>
        <s v="200f7753-f217-4aac-a59c-ff81e5ce0ca6"/>
        <s v="82221345-50de-4292-b90a-9016cdec85da"/>
        <s v="2f16fb50-c13e-46af-bc95-90d33e2aad3e"/>
        <s v="a9c72e7b-6b77-4df1-9f59-aa2c4a82e06a"/>
        <s v="99e8c828-21da-432c-9c68-d4fd0bd7696f"/>
        <s v="b3c161c3-13f2-437c-a4d0-27590542bd75"/>
        <s v="4ca49aaf-6b94-4e09-a1cc-14b312bdf75f"/>
        <s v="ed28508d-bdaa-4bfa-aab0-15638cffbbb1"/>
        <s v="4c4b91fe-6c14-4fc6-9750-ca7e246cb09c"/>
        <s v="3f80c31f-15a5-412c-9ac4-b6c7a31034dd"/>
        <s v="a3155940-5e87-405a-a1fd-cdf171df24d9"/>
        <s v="605dd4d6-0ecf-495b-877a-2133f2ed33e1"/>
        <s v="f642c8f3-6acf-49eb-8228-4fd9689bba65"/>
        <s v="70f8dd99-5217-4eb7-a6b9-20daba6a098f"/>
        <s v="f3cc9d8a-4b16-48e4-9f20-f4063438b4e4"/>
        <s v="2f7a304f-f344-4911-974f-7a54788c161e"/>
        <s v="1cb66f67-46e7-45ad-9bce-35d8cbe88a3f"/>
        <s v="27649a62-b02d-452c-9b05-0db28ee4fd02"/>
        <s v="eda2fc4c-7237-4420-b3dd-77e1cbb02fe9"/>
        <s v="6bf4d047-c484-4a8d-af75-1bde66163e5b"/>
        <s v="f5a3e893-3f7a-4748-acbb-93c26e84f8ea"/>
        <s v="85fa2d5c-efe6-471b-9723-a95974151acc"/>
        <s v="a1ab17c0-7662-49cc-9af9-5c78247f4d97"/>
        <s v="c149fa8e-7bb8-42f1-9624-d318a32652e8"/>
        <s v="d4864482-0078-4b12-8b73-50d13421beaf"/>
        <s v="764657ca-9e65-436c-b2f7-74b1b2f11ef9"/>
        <s v="1d4d1180-4c6e-4fbb-b7fe-f6b501fda698"/>
        <s v="4d18c103-a100-4d14-ba92-cd28c4c536fb"/>
        <s v="6c98f73d-27fe-4b4b-9bf1-f1d18b92c247"/>
        <s v="17b18e6e-78af-458e-8058-a332b4cfafa8"/>
        <s v="f5feba5e-c295-4f51-bf67-ee1aad9d1f42"/>
        <s v="67c21355-c312-4af6-8b32-992a3b7c1f9a"/>
        <s v="0588d91d-fbe8-4a8e-a1cf-0d1d47b3df41"/>
        <s v="ab2212c9-e23b-480e-8523-dbbb1eeed219"/>
        <s v="65ff6adc-41ae-43f7-8010-98240a614be3"/>
        <s v="b5c03f6f-94e4-4c44-a3fb-dbda86ae9d5c"/>
        <s v="bf1df687-1a1e-4042-b1d0-4b0f656fa7e6"/>
        <s v="df0d6301-488c-4c4e-9a94-14b840aaec7a"/>
        <s v="322f1499-e8a5-4f31-ac2c-10d0c15648ff"/>
        <s v="120961ea-0913-4087-95d3-8ca9986cc8d5"/>
        <s v="889c8ae2-4e3c-4f2d-8332-559dcad00273"/>
        <s v="dc0520a4-87ba-4b90-9e41-5c4e57030ede"/>
        <s v="c31277fd-eb83-4f16-a404-d8083fc18c00"/>
        <s v="dc66a27b-6a32-4333-916e-8a6429deb984"/>
        <s v="22696227-8513-491e-8862-2a674a294067"/>
        <s v="35d4cd35-a08c-4a00-85e7-425092f078b8"/>
        <s v="f4a5cc36-692a-4bce-9af5-5c2688083ebc"/>
        <s v="bdce29ef-6746-40eb-8b27-9c29a274c0d7"/>
        <s v="47534952-c9c5-4ef1-a76f-8a76c74f11cd"/>
        <s v="9177b6d4-5f2e-4167-b13e-ceb14ad12b4c"/>
        <s v="1f9078d5-2835-4cdb-a347-b24fa0f9c074"/>
        <s v="66b62087-61a5-4fdd-9eda-4209b270af55"/>
        <s v="8f42cebe-23b8-40f3-b7cb-1a27974fdedc"/>
        <s v="a1d20ebc-5aa3-492a-8c88-b9d8ab12fb53"/>
        <s v="37cf8025-6a44-4a90-be0a-5a5679009c61"/>
        <s v="8066b49b-b1d7-42a0-bd25-cefb7a0a02ba"/>
        <s v="f55b2e5c-a6ed-4ac0-be22-e1b751783032"/>
        <s v="248f4a25-4cd8-4f24-b1a8-c9c60f6ab75b"/>
        <s v="e32866d3-0d6a-48b0-beda-9ab9bec60ffe"/>
        <s v="5afb9565-068a-4c38-b739-076a9f032cdc"/>
        <s v="fe2d9d1d-e377-4008-a416-59c078b61daf"/>
        <s v="fa999f9b-86de-4365-98a2-30de02969326"/>
        <s v="14d4dad6-ddfa-4808-afd8-643211035083"/>
        <s v="ecb3d561-bdf0-4015-b305-ee95afb120f4"/>
        <s v="5c7cbc62-01a4-47a1-a526-4961ab4414ae"/>
        <s v="00f520f4-9ef1-4846-9dbc-24fd0a8aa1e4"/>
        <s v="a3ef802e-df86-43ce-8534-32cdffeb5d5f"/>
        <s v="e695f8ba-ba23-48fe-8ae3-02f3b31e9be8"/>
        <s v="92a651d7-c069-4542-a403-97213a082921"/>
        <s v="6f1bdd07-1aff-41ae-b0f2-c48549b564fb"/>
        <s v="62565a95-5487-45c3-b762-6f4975fd3537"/>
        <s v="a5e3a719-6bf5-4dfd-94a8-762b2b12c92c"/>
        <s v="25e4979d-6f6d-4f79-affe-2554e5aef699"/>
        <s v="25c29b6a-b575-4c6e-aee8-4bcb7281b8a9"/>
        <s v="35783f66-2114-42d6-90ea-1324862f78e1"/>
        <s v="596305b3-71b2-41e4-afd3-b9f2e90f79f8"/>
        <s v="6d62e40c-638d-421a-bbc5-9e92ca1209ad"/>
        <s v="bad3116b-63b8-4897-bdf0-fe6bce8d75f2"/>
        <s v="707421d4-3239-404b-8bab-5b51385c5fdc"/>
        <s v="b5c25d42-9626-48c4-b44a-f454f0a61c5e"/>
        <s v="0884fd16-636a-4f8c-a7e3-f52c0cbf404d"/>
        <s v="defa7864-15ac-45c3-a217-cf253be95767"/>
        <s v="be3feafd-0e96-4d9b-9d15-8e442fcf3b87"/>
        <s v="3baa17f9-2c62-4ac3-ad70-27cfa358cb1d"/>
        <s v="162d5c72-9ccd-4e1f-8c2a-bdaa9c5c11eb"/>
        <s v="c061c99b-831a-452a-9e6c-8762b475e15e"/>
        <s v="e2091f49-e0a1-4d2b-857c-799848d002be"/>
        <s v="0dcf035b-7552-46e8-a953-a1155a62ddc4"/>
        <s v="aa66b464-8420-48d9-b261-d0d2a1c2d9bf"/>
        <s v="8c141838-f468-40a2-a604-e5aff4db1c1e"/>
        <s v="6e3c18c9-ef1f-40a3-bc02-ba67ee04bdde"/>
        <s v="413770e2-7d7d-41f5-b460-d20d94b9cdb5"/>
        <s v="56525ce0-3725-4d0c-b9c4-5c38b440ffe0"/>
        <s v="0d742256-0b36-43cd-8acf-eba4441030ae"/>
        <s v="4a30f7cd-00fd-4c23-998c-a3b429b10823"/>
        <s v="104dff66-23f1-467e-81d3-4690a795ac54"/>
        <s v="38dfe76b-ae35-4290-ad80-ab08c963d148"/>
        <s v="8ec9ea98-6581-4934-9bcf-b1c4f87e3560"/>
        <s v="315e8080-7425-44e9-b891-aef5ebe0572c"/>
        <s v="9b3a0c89-1a32-4148-9bba-c83856e9b78d"/>
        <s v="51abf5e5-cb77-4e24-95eb-3a3de2014a45"/>
        <s v="e4bacd78-74ab-49fc-8930-d17952ab793f"/>
        <s v="85a1282a-0761-485b-8168-705a533c9a31"/>
        <s v="14827a89-5e63-44c6-b0ac-79dd0b5aafef"/>
        <s v="5882e3bb-8646-46c1-9eb4-e6c435a7c6ed"/>
        <s v="4053b188-339d-48f5-9658-b1b33012ae1c"/>
        <s v="4d236555-bc50-44ac-baa1-72acac33f644"/>
        <s v="6279d944-dc28-47c6-8453-98134fee7144"/>
        <s v="df39ccaa-580c-49fc-bb69-e69041300879"/>
        <s v="4e49df56-0b64-4acd-bd6e-2667b6651d6e"/>
        <s v="025b7c5f-1284-49d7-8d4e-2753ef26a5b7"/>
        <s v="702dc88a-b97f-43bb-becc-040c75ff93f0"/>
        <s v="6980b561-cf1a-4cc1-aaca-38110c26e5d9"/>
        <s v="70aaf525-75e4-47dd-be5b-637dfa98c115"/>
        <s v="3dbba3af-14db-4d22-95ea-e9d21e3d59d0"/>
        <s v="275f275c-c3f3-474d-9386-1b58194665d3"/>
        <s v="36a5be06-eb52-4e01-a25e-651269fcbef0"/>
        <s v="d16903f2-13bf-49fe-9cdd-9f6c70cdc4a8"/>
        <s v="e2f88051-c13c-4688-8f1b-5be16d4ba69c"/>
        <s v="f57b8a92-0a12-43b3-a4fc-0dbad44f85e7"/>
        <s v="38553ac8-7d71-4591-bfee-2fc72e2dffdf"/>
        <s v="476c4878-deff-4d7a-9728-525620ca35ab"/>
        <s v="fea2a33a-51d1-4bcd-9a23-754bef38d426"/>
        <s v="e64ddd91-8e9b-485e-9b77-0deb6f51ea78"/>
        <s v="c9fe6036-8a83-4fc8-9c2e-55624916e844"/>
        <s v="c707e77b-4bf0-4e53-b608-8c973380dcfc"/>
        <s v="764ab510-9acb-4588-8397-d4127118bb71"/>
        <s v="45c596d4-42d0-4ba3-a265-2c9e89421c6d"/>
        <s v="9d683a9e-1e65-4ac1-843d-2c473b56735e"/>
        <s v="2c2df3c2-1951-4f87-b63f-83c6c89309e9"/>
        <s v="37d316a4-3faf-4217-aa27-241fbb9e5a02"/>
        <s v="ff4533fe-bc6f-46ac-a139-d15d48d8b9ef"/>
        <s v="89181ba3-bdee-4231-81a6-009ea8dce886"/>
        <s v="0cbdc014-dbed-442e-ada3-13e783e9973b"/>
        <s v="45c190a8-a52b-40ce-a27b-585f1f2de275"/>
        <s v="908e0372-bcbe-4a42-b89d-3fda1e454241"/>
        <s v="b76fc5b2-acc5-42df-bac4-9efa5be12d09"/>
        <s v="483c1a4e-a91d-42cd-8bf0-6f64b4178592"/>
        <s v="e6cd3595-d4f0-465d-bd68-17b638b80611"/>
        <s v="4eb98768-84a5-41c3-9095-e4973d798f0b"/>
        <s v="5f89d54d-3bcd-4aec-93ca-8c05acb5959f"/>
        <s v="9501e917-496d-427b-baf2-f402a0e624f1"/>
        <s v="03f7ba05-cf4b-4315-a325-4d812bdfb727"/>
        <s v="5df2e073-53f0-4099-813d-d49a8d99743c"/>
        <s v="cfdef303-0679-4b47-a283-453695decd6e"/>
        <s v="27be0381-6544-497d-a078-9f97213c121c"/>
        <s v="fdc12930-82ae-452f-ad40-76bcf9cb2ee8"/>
        <s v="34dd7624-c3d9-43b0-a2b5-6be11392a255"/>
        <s v="7f2a2e65-c659-4f7f-aa45-5fc7c80cb483"/>
        <s v="f8247e70-b219-4ff3-846a-c0d691ca9f9e"/>
        <s v="21d32e24-bb89-4746-bc3d-a91136a52df9"/>
        <s v="62759469-c28d-4ad5-bbd3-147dd0f0c75d"/>
        <s v="21ee302e-974d-4d49-9bc6-98825a7c831a"/>
        <s v="eaf94919-e69b-4971-bf9b-76efa1057256"/>
        <s v="06a8e22f-d57c-4f0d-9db3-466d1ba6cc61"/>
        <s v="7d3c279b-5bce-428b-989b-b03086c47b06"/>
        <s v="f568c9c6-033c-4469-8f06-ea1874a26444"/>
        <s v="29bccee9-a71b-40ef-8e36-b82f3856be31"/>
        <s v="cf2a2198-7ea4-46f5-a10b-4aada92d6b05"/>
        <s v="8bc88bcf-7b1d-4049-bcc4-616df40d2a37"/>
        <s v="142a6c95-d908-4a42-b448-0761505e9c9b"/>
        <s v="66dfeb1e-9ab3-4c27-a32f-8c5b425832c0"/>
        <s v="5100f186-d25a-4049-b0e9-be17b4134208"/>
        <s v="f19b43da-6253-4fe3-8aae-b212c90ded29"/>
        <s v="50ae2652-09cd-4bdf-b56a-f7370f2670d2"/>
        <s v="3fe65f90-f631-481e-bf40-1e04b9f94ec6"/>
        <s v="ab1e6794-70f2-497a-9ceb-201357d9af8d"/>
        <s v="39d5b552-a867-40f0-a8e6-a772b9cde60c"/>
        <s v="298e9a79-abec-4c0b-981b-a30742965873"/>
        <s v="92d6ff73-5b3a-4595-8458-92c14e0e15d3"/>
        <s v="a1645f58-bb78-4b2d-8ee5-144d8a1d8b42"/>
        <s v="7db931ce-05a0-4421-9a79-b46a26b61b06"/>
        <s v="3dd0c866-0649-4ef5-8fb2-de1ea0b976c2"/>
        <s v="f20e8bda-39cc-4d88-832f-594d0b82b61c"/>
        <s v="d22a3a62-1109-4978-93a0-81a6a7647989"/>
        <s v="a9fa4ea6-f8db-4a4d-984d-3c020ff9d318"/>
        <s v="ec071cf1-e476-48ec-a2c7-1d046c32faff"/>
        <s v="245db6ca-6f6a-4196-b2ef-7dce376e22a6"/>
        <s v="a629d332-2d4b-45a4-8fdc-13515ba830dc"/>
        <s v="c90853fd-fc9e-4692-ba62-6aee542d19c0"/>
        <s v="027752fe-61f6-4c6e-a89c-0559bf4fa4a3"/>
        <s v="88a0edce-4384-460c-a413-961f68c6dd5e"/>
        <s v="fb0a6a90-bc52-434e-8dfa-4cc88805ae31"/>
        <s v="c2537638-7670-4835-b476-998dafc8128a"/>
        <s v="1f626a97-ebe7-4f91-9092-0b690abc847e"/>
        <s v="2bdb5720-63ea-407f-b436-498e68afe2b8"/>
        <s v="9f312acb-2362-4bc1-8024-532000cbd313"/>
        <s v="d70da545-8391-47a6-a977-4b71de6d2d7e"/>
        <s v="1463c5f8-25ee-44ab-b319-1702bb80d98d"/>
        <s v="d4088ff7-d713-4061-bcc4-f772547e3918"/>
        <s v="f22a4fc6-3f2d-48a8-ad20-481ad216ad53"/>
        <s v="e575ae93-ce74-4e8a-b4e1-680b05a02c72"/>
        <s v="d69db137-c9a5-4cd1-be28-e8c52b395c4e"/>
        <s v="b7c144fb-2b16-4d04-8fb8-7c76af044a8d"/>
        <s v="dd5aacc7-ed7a-4edf-ad5b-7d501417d4f9"/>
        <s v="a0e77486-9ed9-4124-9a89-5c62990e8f01"/>
        <s v="9d6c84af-266b-4d37-b5c9-9b49751f7e54"/>
        <s v="571aa4f6-40a2-4015-8a40-a3799a1ab357"/>
        <s v="606375b8-bb93-4826-bcee-9d29ce4f1ca0"/>
        <s v="e3b4df81-eeb3-462c-a032-149d06fafb60"/>
        <s v="5bbdd1f4-16f1-4aad-bf10-7645094c0230"/>
        <s v="754724dd-269b-4c3b-abf0-f4bd4af0a6fe"/>
        <s v="298b7e5d-5b16-44ad-81e7-74de3c740119"/>
        <s v="566ff3ec-679b-49e8-80c3-2da9bc49b58e"/>
        <s v="f1c58f44-7e08-4c1b-8da6-a326451437d6"/>
        <s v="87c47eb8-4f8e-4e01-83c8-e1046480fdc0"/>
        <s v="780afabf-8cea-409b-89c9-4aa5e689e5e8"/>
        <s v="88239867-c5dd-467b-88f1-100bfa3222c4"/>
        <s v="ef208346-432f-4308-8d56-206d920c3de9"/>
        <s v="6522ff46-74b7-461c-89ce-15a8afd4fc7b"/>
        <s v="58ba0bf3-675e-4c52-9eb9-5739b8acdd81"/>
        <s v="45e695b1-054b-4816-8d18-533e7efa2faf"/>
        <s v="4100e665-08c6-46a9-bee4-e6bcbd6deb92"/>
        <s v="b3e4bd3a-94fe-41a0-ae2e-45a4ae4404d7"/>
        <s v="feb46b24-4a2e-4d41-addb-0263c6a2894d"/>
        <s v="c33993f2-3504-4f77-8317-c3d4afa4f554"/>
        <s v="62d59938-571c-4d78-8429-aeae877e5ea1"/>
        <s v="402988fd-f8cc-4f3b-959b-148ffa7bff5f"/>
        <s v="fb52451d-90e7-41a1-9db1-dfdc357f0a64"/>
        <s v="f16f1487-f7f2-4e5c-8e07-55e354565b12"/>
        <s v="ac825818-960d-4788-be1e-165decadbb86"/>
        <s v="e02a35e9-ae6b-4c8e-8864-4581b8577478"/>
        <s v="de386aeb-ea96-4be6-a99c-f16b5a7583c0"/>
        <s v="d8a1a546-54a6-487c-a72e-aa36e642965c"/>
        <s v="95be263b-0253-4c8c-91f0-c570bf5545ce"/>
        <s v="27fa8b8a-909b-471c-8d1f-0a7fd0fce922"/>
        <s v="4a8b77da-5cfa-48b1-9836-78eef3ca5f64"/>
        <s v="7eaf1679-52b0-4994-8b1d-d9fda02ebb76"/>
        <s v="6e566274-99c7-4bea-a756-264dc8649f78"/>
        <s v="c9d0a7f4-0042-4fc6-ab87-71dffccae6b8"/>
        <s v="711fa10a-0b29-45c6-918f-f3582408c3c2"/>
        <s v="0262a5aa-edec-41ef-9762-762620379089"/>
        <s v="e8ef99e9-7afc-40cd-b8bc-6621f2d7fe55"/>
        <s v="a9afa87a-d181-49bf-aa09-9a46f25a3c68"/>
        <s v="9cb9f9aa-bf4d-4eaa-81f2-005bc7537df5"/>
        <s v="efa2ce12-8c83-4848-91fb-a56e300a2187"/>
        <s v="d48457df-f325-4f2d-8759-5b016c835975"/>
        <s v="10339310-2b7b-4e99-878f-40ed2c805ac7"/>
        <s v="94665d45-284b-4bcd-a3af-11d0a8ab29f1"/>
        <s v="a1d33772-8101-4c5b-b110-397a1c2c7a34"/>
        <s v="627b9de7-9ae4-45e0-8b1d-c2f8cbf1f93c"/>
        <s v="4fb7c3bb-4408-404c-af44-6806c1378e75"/>
        <s v="c74dd25c-6dbf-459c-837d-975248f3531c"/>
        <s v="47caf779-b7c9-4da8-91db-32f8fda834ea"/>
        <s v="86fadb0e-89b1-40d4-8218-ca25f23db306"/>
        <s v="579e9a46-fd76-4f63-9163-de1d8df7a267"/>
        <s v="6e83a7b2-c857-48c3-b4a0-697630a31251"/>
        <s v="01847803-d840-4ccb-a446-eceecaa0a679"/>
        <s v="c8dec9ab-27c3-4784-82e7-448cc0037457"/>
        <s v="c81236e6-ec77-4fc8-b38e-5adba93fa902"/>
        <s v="76d142d0-5c66-49bb-a257-4c5a903374bf"/>
        <s v="e994f3e6-8fc4-4dd3-894f-7d5af313c0b0"/>
        <s v="cc68fd3f-9d37-4a5c-a2fc-7fe3696100ac"/>
        <s v="e65a3ae4-3a72-417d-829e-d120cddb2316"/>
        <s v="fb46ed39-8772-4347-9cba-9be3040464c0"/>
        <s v="31cb5e8e-ae25-42ca-a894-8b4cf0fcccc6"/>
        <s v="b3390a6e-a0b8-4e45-9abe-c113a1832fdb"/>
        <s v="bc39e1b3-bb1d-4677-84e6-748a7f3ab7dc"/>
        <s v="3df8eeef-e44a-41f6-9251-ad083fcb34fa"/>
        <s v="c2112eda-f1e7-4a9b-af65-70d74643d705"/>
        <s v="92b95731-13f2-4c86-ab83-f00fed2ee36f"/>
        <s v="b6bca2a2-be79-4965-bc9a-923672bbe7b3"/>
        <s v="e51c0cdb-8247-44df-9d1f-8e30731c877a"/>
        <s v="19b53b7f-b47a-4dce-8f70-9452ce8c037e"/>
        <s v="70c455a9-2a1b-4112-b033-1476f53fc3dd"/>
        <s v="6d3f4b37-ed90-41c1-90b2-e6e5ec6e61bd"/>
        <s v="4598244b-f0bd-4405-a50d-d400a27ee80d"/>
        <s v="c1fa924e-e1bc-4fb2-afed-6cc540b000a4"/>
        <s v="53e83663-9c14-440d-9b2d-81ccc602bd20"/>
        <s v="7e15aa2c-07b6-428f-8e98-ce2517337a7c"/>
        <s v="33e9e55e-4024-42a3-8334-f55802cee581"/>
        <s v="6f844392-62f9-4bb2-a5dc-ac6cc329870a"/>
        <s v="ac4ebce0-a02a-4b21-a2a7-d0fcc683ad33"/>
        <s v="d2928f4b-e151-4a0d-b275-16ea63a6aae9"/>
        <s v="5ac5f4f0-771e-4087-952b-1ee109d5b64f"/>
        <s v="907d8532-2076-4932-919c-21edd47133e7"/>
        <s v="d26eeeba-53ff-4644-8741-ee56b5e2834d"/>
        <s v="ebc16f69-7946-4978-a5e9-675306389bd3"/>
        <s v="14dc01bc-0aa5-4583-a2a5-a421858da7da"/>
        <s v="5c6be596-58f1-4c91-9d6d-47e490e0172f"/>
        <s v="b7a02afd-30d6-463f-91c2-72d801267789"/>
        <s v="789a2829-8a66-4359-abe0-a1771c5e1698"/>
        <s v="d763b159-ed9a-489a-9085-2f4f0b09ec41"/>
        <s v="067fece7-f1ff-46dc-b45a-a79bd855fb35"/>
        <s v="2011bc8a-e7bf-4a96-a484-9eb55096ccf2"/>
        <s v="a2b4d215-c3c5-407d-be29-2238fbfbe602"/>
        <s v="2462c274-abbf-46c7-a80a-ee2a466bd06f"/>
        <s v="ddda17a3-6779-4e0d-a5c1-df67987d616d"/>
        <s v="29b49664-0f52-461d-82f1-240d4e5c6dd2"/>
        <s v="e91e70af-224a-4354-a490-7635201910c6"/>
        <s v="b75db71e-a453-4fe9-b48f-653e7b1bcb6b"/>
        <s v="bad4c288-0bf5-4ed8-b93c-2989c399fd7f"/>
        <s v="d2d07223-0b20-4e0f-8505-0a17d2e1ed4d"/>
        <s v="b2835498-be80-493e-b0f1-bb1d8e10fed6"/>
        <s v="2e22fd39-f31e-4448-a323-c57fa197b954"/>
        <s v="d020baee-95fc-4389-8cd6-6756583e26a4"/>
        <s v="2ca723c4-8f4e-4442-94aa-aefe153251c9"/>
        <s v="ccd9f2af-339c-4a75-83fd-46ffd03459a4"/>
        <s v="b56b9357-b34d-48b0-93f3-c15842ce91c0"/>
        <s v="8476af98-425d-495f-8846-bf9040fe6898"/>
        <s v="e8f58c5d-ffa0-4419-b4db-cc40ef7dee1a"/>
        <s v="72e6316e-e671-4ad2-81b5-468a27bb1580"/>
        <s v="a1ee691a-09e1-43b0-a71f-27728d7f7ba5"/>
        <s v="83210210-a43c-491d-ad4d-a4ef95e38180"/>
        <s v="50eaa1d2-c1f8-490b-a55e-44b808a6d5b4"/>
        <s v="31610b3d-1257-463c-b25d-cb50d15b5985"/>
        <s v="9c63765b-74e0-4bbb-8a80-33a7a5fd89c8"/>
        <s v="85b303d3-756b-4c0d-8ff0-c8ac3d1cd68c"/>
        <s v="e9a4a856-556b-40fa-b5a3-cece28cdc38a"/>
        <s v="c5826444-79fa-4501-a287-401ba7bbaa76"/>
        <s v="1519401c-8b1f-4137-8ea2-55e08e50c79a"/>
        <s v="00a1402e-57e7-4f7b-8486-10cfd21276c2"/>
        <s v="1a9e8547-147a-48ac-865d-8e4ed01e488b"/>
        <s v="91fd7d4a-5a31-46a6-9b87-cc5e6d7fe9b2"/>
        <s v="60c8e5a0-d560-464c-95f7-792a739ac9e2"/>
        <s v="d7604342-fcbc-4229-9caf-a108832c9b79"/>
        <s v="22d80170-1e6c-4d83-a2f6-2516dc88b09c"/>
        <s v="2ebed37d-05d1-46b6-acee-c38d511fcda9"/>
        <s v="567fec5e-04ea-481d-a006-8c1cbbd743b3"/>
        <s v="0b4cba0a-317e-4b1d-9b83-acd5e2ccddd8"/>
        <s v="b2e74e77-0fe1-4edf-a538-790169f12ccd"/>
        <s v="e963544a-63b7-4101-8bf8-e26a4fae667b"/>
        <s v="cb60fefc-c47e-430e-99b7-02a20d5f024a"/>
        <s v="eb1c3ba4-5b9e-42d0-ab0c-9fddb61b03e9"/>
        <s v="688181a8-13d1-4a49-ad46-9bf4d5cf2dc4"/>
        <s v="9aa909f1-5adf-4d04-b0d2-27180dd35d11"/>
        <s v="417df4f8-c1a7-4e00-9ec1-2fa2e6df12ce"/>
        <s v="d95e17e1-900f-42f7-8f4b-4ed5ac1d02e8"/>
        <s v="2e402534-6987-4052-b421-9d3ecdc39412"/>
        <s v="439f4b86-cd6a-4e0c-b427-965607db34e0"/>
        <s v="106861d3-633d-4c54-b304-59cc30c42d61"/>
        <s v="06b42b6f-1f94-43c8-98a7-75945b8c4949"/>
        <s v="675d0855-2d55-40c9-8576-598359cd012a"/>
      </sharedItems>
    </cacheField>
    <cacheField name="user_id" numFmtId="49">
      <sharedItems>
        <s v="e5a1bdae-a747-495e-b0c9-52af9db31510"/>
        <s v="ca6ef7ce-74db-49f3-92a3-3c33037e5725"/>
        <s v="b1e186d7-df25-4e5d-befa-9c478dd6650f"/>
        <s v="dba45b5e-1498-465b-b9fe-0a1b7efbe877"/>
        <s v="66e51767-dcb3-4e4a-891d-fa7b0d3dc6aa"/>
        <s v="eceb9505-dbc3-4e56-88a1-7945ca6d3e06"/>
        <s v="840fbb0b-a5e3-47af-871d-ade6432255ee"/>
        <s v="1480f037-d39a-4bb0-962b-68d41880fa4b"/>
        <s v="19365f61-f484-478d-9bc9-e8895567a84c"/>
        <s v="277e5c18-0877-4fe6-b7d8-70b678ac8704"/>
        <s v="ce03a34d-a022-4fee-843f-b606e8b7e2da"/>
        <s v="002f9cc4-096b-4aff-b5b7-751f497e28aa"/>
        <s v="f1c51dda-2828-4370-9672-ebc7606e8502"/>
        <s v="291a58af-259a-4b28-b22b-89748c5c192f"/>
        <s v="28b299bc-ebbe-4a41-8781-e11f2cb38568"/>
        <s v="f172840f-3e19-40ba-ae09-ccfba3dee81f"/>
        <s v="540988e7-9fed-4060-af23-d4afe0ff58a5"/>
        <s v="f5657d00-7ba0-4f58-861a-e8d1f212cc6f"/>
        <s v="65ea29d1-adae-4e45-a036-e74be34d7804"/>
        <s v="a2bb6283-3d83-4d7c-b9f7-06d40b4ea16d"/>
        <s v="f75a7e6f-2b86-4694-941d-1a814815642c"/>
        <s v="29e316ad-39dd-4477-9a22-0eb23cf9d1fe"/>
        <s v="5d005716-7680-491b-abb6-204ee0db22d3"/>
        <s v="62f25291-2353-4455-90bc-cb66e0631450"/>
        <s v="2982100c-0372-4e33-8550-7d2b909e7f78"/>
        <s v="afdb4e0b-0171-4f1d-956a-2f20ee283bb7"/>
        <s v="2c05b870-cd34-4cd7-b7ed-75b463d0fccd"/>
        <s v="06714938-04fe-473d-a61c-ec19fff83cec"/>
        <s v="00f24603-8295-4fe0-92c5-53b5d2f74429"/>
        <s v="ecf150e6-c6f1-49c7-8c15-a57509c64c1d"/>
        <s v="25cf51c4-9c89-4296-92b0-35e01ca5a2f5"/>
        <s v="c96ef1a5-ac70-4464-a734-f9bbc7405255"/>
        <s v="6b325d48-06c4-4109-89a6-e611613f718d"/>
        <s v="afb9f3a8-e9e7-41ba-916b-51ee6faefeda"/>
        <s v="ec2b5e21-3f7a-48e0-b611-8bd6553a773a"/>
        <s v="37773772-829f-47ba-9d30-db822348e1b7"/>
        <s v="213a6ad8-12b3-4a24-a67f-ceeb8889832c"/>
        <s v="59c07423-a89f-4916-90ec-83746862dc24"/>
        <s v="e54ce0de-6e79-4a92-98b7-f1a2f74f1905"/>
        <s v="61bafa39-789c-4c72-bee2-9e686fa00319"/>
        <s v="3d7439ee-6514-4471-aa95-1570399bcb79"/>
        <s v="eba08424-65a5-4c1f-bb2e-cfc5a53011a2"/>
        <s v="409b3c5b-d5e8-489c-91ab-249d94d50a99"/>
        <s v="86ce563d-e291-45e1-869f-c269ff7acd86"/>
        <s v="9aa1ecd6-058f-48d5-8ad6-cc515f2e1048"/>
        <s v="e072caae-797c-47bf-8793-85209c921e7f"/>
        <s v="9c684df1-0a51-4e87-86ba-68553cad275a"/>
        <s v="6409df32-cc4e-46da-9e09-89b952526d45"/>
        <s v="88d3281a-1b4e-4428-a048-3bb2f6d080c4"/>
        <s v="24eac3f4-0c78-42f9-9a41-8b24e0acf9ff"/>
        <s v="c48ae374-06dc-4579-a476-40a1b6a659ef"/>
        <s v="f9fb4010-dec7-42b7-bb22-fa316bc9e970"/>
        <s v="1ad566c3-ecb0-4f48-aed6-3ea464a2bc48"/>
        <s v="7644d183-9aab-422d-b5ef-8aabb693f4ef"/>
        <s v="796f9881-572a-4b53-ab6b-7b4229502326"/>
        <s v="eb1d1061-9717-4a6e-a8b4-d5b9693d993c"/>
        <s v="c30759a4-48a1-43ab-9d55-daaffefc5b4a"/>
        <s v="5e47c2a0-eef6-4139-9ccd-d34080e97f74"/>
        <s v="5b8d11ba-a0ec-4e5a-a487-8d19586d7f41"/>
        <s v="84caa7c8-a159-4b4f-b901-726fc421325a"/>
        <s v="e08c28eb-3218-4fbf-8dcc-bbedc0e0d55b"/>
        <s v="b934718f-2d49-4ca2-81f4-317df5141524"/>
        <s v="614f1ddc-4bc9-42ce-931d-a6ac956c2129"/>
        <s v="8d2ad974-4a86-4655-8a9d-499ca2698c2d"/>
        <s v="69199a8a-aea6-4315-88ef-444a6e63ffa4"/>
        <s v="354af1bd-ba56-42f7-a00a-a45e44e1b08c"/>
        <s v="1c3c8d35-21d4-4b7e-a258-7c8958ccf9b4"/>
        <s v="07fe6a4e-2a6f-4e47-9b61-f92b9cf600ec"/>
        <s v="76a933cf-65fd-4f69-93a2-5c9b6e3a52d7"/>
        <s v="b5004950-b5f5-4316-a453-35cc137fcd2b"/>
        <s v="6ce8d7dc-c71d-42d6-93ec-5718ae4a741a"/>
        <s v="2367ad9e-8dcd-4d64-b9e8-e4ee8b7f6d7a"/>
        <s v="2a1ace85-351c-4aac-a728-ec952b52dab1"/>
        <s v="22b3ce34-867a-4ac9-879b-e4e53a6e8f12"/>
        <s v="e65d1c73-5b62-47c9-be38-01afd1a8d7b0"/>
        <s v="49bcf4a8-bc62-44a8-9f93-e802e1c25cd1"/>
        <s v="af273f40-55cd-472e-8b10-cf68b7691470"/>
        <s v="ea045534-f679-4fd3-8d74-afec1e548a7c"/>
        <s v="c5fee487-68ab-4281-968d-2bc2dac7c336"/>
        <s v="2887a3a9-e633-47c3-8303-42c7dcfbde0a"/>
        <s v="f7f1bb27-8066-4563-a0c3-0ce957ac59f2"/>
        <s v="25033a3e-b1f5-47d0-887b-4cca54f02dc4"/>
        <s v="bd637b3a-fc0b-4519-a04a-a4a2e983cc1d"/>
        <s v="3c0a94de-4e24-4cf7-8e33-dcabbe684e2b"/>
        <s v="60e9bd79-fe1c-41e5-aa31-e67ae1680205"/>
        <s v="78a55d6b-f2de-400f-a3e8-695158b5f052"/>
        <s v="68fc642a-f6f2-4926-8e60-678b82f4b48a"/>
        <s v="1903b45f-d01c-4935-a803-2f7efef06b04"/>
        <s v="25cc2478-276d-4e19-b924-e06aaef5baef"/>
        <s v="a25130a8-9870-4707-955f-bc3301424249"/>
        <s v="e1a9344e-ef7f-4bc8-bb24-cba4b4577bf7"/>
        <s v="c77f0b62-b264-49f7-9b58-286c8461f840"/>
        <s v="98856c7f-3475-4526-b2b4-c281a5b91ee8"/>
        <s v="83719849-fb52-44d9-9a66-d48da4f0d9c2"/>
        <s v="bb5f15c1-b044-4ebb-8445-17ef1c769e1f"/>
        <s v="15db4487-6038-43f3-ab2b-cfda9d4319b5"/>
        <s v="1d8ac1a9-02af-4382-8938-ad77cb18d6a4"/>
        <s v="b8f35c26-d13e-439c-9cb6-f1f0e4751694"/>
        <s v="ad0cabfc-1baf-41f1-917f-a07e7b0f78c1"/>
        <s v="b259a6a0-9591-4900-9e7c-faad73df770a"/>
        <s v="cfe4fb66-7c8d-4368-aaa2-843940fe81ec"/>
        <s v="28b74f3d-ec38-46bc-ba8d-1c00c6962905"/>
        <s v="e5098f9a-d3c6-4e05-8d37-aebb8fc7f7e3"/>
        <s v="820bc51d-db3a-4fa6-87d0-286213f36e53"/>
        <s v="06999e1e-2b02-437e-a2cd-159aebba80d2"/>
        <s v="2ab465e9-d97d-4b38-a4a9-8266d3d6362b"/>
        <s v="68adc28f-8463-416a-be65-6befe0efc989"/>
        <s v="702cebbe-3544-4189-a920-46339bb68cd2"/>
        <s v="439ddd74-67af-46d9-af04-ef81b5481bf2"/>
        <s v="eb6ec9e0-225f-4457-9662-5aa1056b565f"/>
        <s v="70e2ee61-e29b-44d7-abdc-9c10636241c3"/>
        <s v="60032713-ea8f-423d-8dbc-321b90a00ee1"/>
        <s v="a4e0ee5b-1638-425c-8d66-65d8edf2a720"/>
        <s v="3bac2660-55a3-4129-a7ba-6b1a96954911"/>
        <s v="0a02da60-749d-4601-9f98-377981bd5336"/>
        <s v="44c8fd00-1a0f-4218-9eb8-83257add8fed"/>
        <s v="8d00b7b2-7d82-4ccf-81eb-88e5d549faad"/>
        <s v="43eb280e-7901-4990-a4e3-22cfa51de78b"/>
        <s v="5d443821-8a7f-43ae-bad2-3fbf2e573864"/>
        <s v="9bde299d-da28-4b7a-8d6d-99a628d798b4"/>
        <s v="74f8c57b-24c5-42ca-aab3-c4d8d4e4004b"/>
        <s v="7a658abe-1188-4fa1-b660-ffd5119fc1c4"/>
        <s v="68f49b51-f3fa-4613-90ed-41f464aba3f6"/>
        <s v="7b777bf2-43f9-4cbd-979d-221d8e5f37fa"/>
        <s v="4bf41e10-1c62-4f82-9081-3d923aca43f2"/>
        <s v="181a218e-cfd6-4560-9c05-c1f3241d3e27"/>
        <s v="0e8472a7-dd33-4379-a88f-58c1237d7b90"/>
        <s v="96248805-2305-46d3-aa61-353ad2b00078"/>
        <s v="0876daaa-01ce-4fc6-b2d1-16fe8f08963c"/>
        <s v="b325442c-8eeb-4fd8-a783-b0c3dcae667e"/>
        <s v="b6d066f2-7d87-4566-9a0a-80bec15dfcfc"/>
        <s v="79140a61-ee65-4feb-9b67-4518b0bf7f14"/>
        <s v="c7afae8f-dfec-42ae-98e7-60bf8f3e64f4"/>
        <s v="af8c96a9-18f7-4499-9f61-c53457d1d37c"/>
        <s v="7f6bf51b-3a05-40b7-bddf-55b2015128db"/>
        <s v="4642cddb-4fbe-4aae-bbf7-0946d6ada066"/>
        <s v="5ad8712d-7ee1-42a3-824b-fe48398071b1"/>
        <s v="ed3032ed-824c-4948-b474-b1a4f2684ee1"/>
        <s v="4e051eea-13d7-4846-9777-6c3a57435d9c"/>
        <s v="bd2cdb8d-39eb-4a32-ac1b-681192dbd613"/>
        <s v="dc58ea6a-6193-4b51-b6ac-a9b45e146c30"/>
        <s v="49b3fe66-3b4c-4730-a53d-f737c2185e77"/>
        <s v="c6b7e7cb-be0d-44ed-b306-1611ef96a214"/>
        <s v="c814ed3c-e166-46ab-a8f6-14bd7b2aa677"/>
        <s v="9cc753ad-6264-490f-886c-0adf5bf26ec8"/>
        <s v="1e94eb4b-c74f-43ca-94c6-67bb211e55c3"/>
        <s v="de5fe0ee-8010-4500-9ae5-253066b48fc6"/>
        <s v="b594b706-a7fb-481e-ba88-a4ab78916712"/>
        <s v="5bd71dc6-ea75-434d-a1d5-34025fba6dc2"/>
        <s v="f902d6c0-5bf5-4279-8704-768e6e927501"/>
        <s v="b6e0eac2-c42b-44c4-846f-5825669ff1b9"/>
        <s v="1af4321a-ddd3-4779-8879-996dfe38f4eb"/>
        <s v="1ee1723b-4a96-46a4-a752-41027acf6bcc"/>
        <s v="eed15368-5811-4722-a77d-fc7b722c353d"/>
        <s v="edfda291-2fdb-4c0d-be4a-565e3e581dd5"/>
        <s v="3a8be161-7fd2-470a-968d-6f3ef4b445aa"/>
        <s v="f9adf8c5-6247-440d-ae5c-eb3d1c275035"/>
        <s v="7636efd9-8376-4fa8-b6fe-579f6382f3b5"/>
        <s v="ffb59512-fa04-4706-af8d-ff9bfae3fcee"/>
        <s v="387cdf02-9e3b-4f04-9418-864590de6fba"/>
        <s v="4fab2ad8-8091-421d-a637-c09facf606fc"/>
        <s v="849648e8-5084-440f-bb8f-5fc77c96eefa"/>
        <s v="78c5a976-1786-42e8-806b-8fd6af157ed9"/>
        <s v="f325f875-e417-4ba3-a4ee-c62b51306e5c"/>
        <s v="6e6d086c-f7b3-4a86-921d-bc093a357442"/>
        <s v="c57842a9-934c-472a-8c72-fe13fbf28c1c"/>
        <s v="437249fd-17ee-4fe6-a810-91fe0a5a0322"/>
        <s v="2db6de21-53a9-4c5d-b9b5-c70e3346f7c6"/>
        <s v="b2daa1f6-cc16-414a-ae4a-6e781cf4a8ed"/>
        <s v="f3f05323-3bd5-48a2-873c-36ba5d393bf9"/>
        <s v="88da091b-61f6-4877-8212-585b0b2f8580"/>
        <s v="d24e3104-1dd2-4234-a131-24bd01275a63"/>
        <s v="e998952c-ef58-451f-9b1a-e0199aca0c4a"/>
        <s v="7751b3fa-bdb6-4ff3-94e1-67063309a536"/>
        <s v="852d2ee5-0061-4d30-9907-3286329cd43a"/>
        <s v="6a4ace0e-d89a-4500-9f13-d2fbe583847f"/>
        <s v="ed0d0418-2d58-4ce9-8974-5cd7111868f8"/>
        <s v="6a594b07-eda6-4806-ba19-607d3bfb255e"/>
        <s v="00183cfe-ceb0-4220-b984-f33f61c61ae4"/>
        <s v="f9df7275-6199-4015-b5c9-599f6f9179cf"/>
        <s v="f45c8840-9da2-4338-8a8b-c856c3edd9b7"/>
        <s v="58d97f4a-9533-4356-874f-3be044f20133"/>
        <s v="565af699-d3bb-43d7-9e12-425cb42fb357"/>
        <s v="2266a107-a408-401f-b433-97f1ad5b9bb2"/>
        <s v="40709bd4-1790-46b7-845c-21e7988d0e4a"/>
        <s v="1a7e256d-b6ff-412c-9a6f-0c9af1f7e90f"/>
        <s v="24536074-b13d-4531-862d-7f7a45dae1f3"/>
        <s v="22ca9fe8-a8aa-4d13-85a9-18d19eede43c"/>
        <s v="f9d2b2de-92bb-4701-b503-c56e61002dbd"/>
        <s v="6bd1f046-339f-4b69-91cd-2c07a8f78b61"/>
        <s v="8f41d3e4-1ece-45e5-8018-41f4820d15c6"/>
        <s v="79801aaa-e93b-4418-b170-b1ed1b040be3"/>
        <s v="729bd820-e4ad-44e2-824d-9e961fe253b0"/>
        <s v="8c3af69e-7474-4f6f-adbd-b6e57844c2ac"/>
        <s v="41229d75-6a8d-4e84-a0fe-652b56fe2301"/>
        <s v="816480fa-90a2-48e1-941b-d89660924d2b"/>
        <s v="dcff697d-d26d-428d-91f1-5ee755e9718e"/>
        <s v="59de5319-3f9b-4cfc-b42c-59053bcab3ea"/>
        <s v="69083bd6-ef61-4cac-8674-d2447b056d02"/>
        <s v="e355c369-b931-426d-b26e-8017061f5679"/>
        <s v="f5652d00-67a4-4b26-8d6e-44f20189a5d9"/>
        <s v="3956fba9-7232-4dc9-8677-81b2c3a31607"/>
        <s v="7a2be049-40d2-416f-bdb6-12f46df2fc82"/>
        <s v="70df67b9-3a6f-46fa-a418-13ef799fde33"/>
        <s v="7c76a592-a73e-4f3b-9c27-761d4894d9fc"/>
        <s v="26184c80-edf6-41e0-ae8f-0e0999755cb9"/>
        <s v="af3b5a91-85ba-4545-94e2-6a5bf807cdd9"/>
        <s v="eec9fa67-4cc6-42fc-b006-ff85166a1a98"/>
        <s v="1f6ceec1-ac54-4740-a182-e35f848edc98"/>
        <s v="57c2747f-27b5-4ee7-8f1a-6c44f239fbb0"/>
        <s v="9f2d5db8-deba-489f-959d-e20409642b31"/>
        <s v="e668bb6e-c408-443f-a90d-07e4ce1f4081"/>
        <s v="3008a519-ad83-4951-a3ea-a00577f63854"/>
        <s v="2ae201c0-312a-4c3c-bf00-625769560c06"/>
        <s v="f2b72bd2-c97b-42af-8c10-ef0164119d38"/>
        <s v="56c6544d-f60c-4881-85ac-7520cd4668fe"/>
        <s v="d46e34aa-ae9d-4797-8284-e0bee33e270a"/>
        <s v="53fb2ed1-b953-4807-b009-61c3855a7d8d"/>
        <s v="8af37d72-ec4f-4490-84ea-f9432ee66e21"/>
        <s v="952b750d-9830-449d-99ef-bb41b66b6b0b"/>
        <s v="b050eb01-a22f-4818-a6f3-32446f1d5baf"/>
        <s v="a9c7ae92-e61b-4dc6-be52-5e4f9e203161"/>
        <s v="991ab513-369f-4284-adc6-41cd921bc646"/>
        <s v="7cddb4cc-3e33-4f35-886c-976870fe3cfc"/>
        <s v="5153f737-d7f1-4ec2-9a9d-add2e7aad070"/>
        <s v="0021b632-3246-47d9-bb29-66398e4a295d"/>
        <s v="3e2b6653-2258-4df3-8ff0-952a0b2591c4"/>
        <s v="9c272c51-ac98-4368-9fc8-b87a7176d181"/>
        <s v="1beaf9cf-af3c-49d0-a92c-3c3e3957f082"/>
        <s v="840658d1-c1da-4d39-b735-0626dca8b6fd"/>
        <s v="a2521f50-a54e-4c8f-acb3-077a6cef5e55"/>
        <s v="aedab7b5-e2aa-45a7-8951-03edfd05a5f5"/>
        <s v="31307e46-af79-4546-be51-68dc5690f74d"/>
        <s v="d7de701d-8eaf-4323-9f65-380029c836e0"/>
        <s v="640ca20c-702a-4b67-b7ae-77585b45cf5a"/>
        <s v="51497435-a9c9-424e-bd72-3837705bacc2"/>
        <s v="113c1836-77f4-431b-bde9-d47dd89331ac"/>
        <s v="1d010478-c110-412c-b843-1ed6258694b6"/>
        <s v="efb80c63-f42f-438f-a7e0-8e2fc06bad38"/>
        <s v="b52f6009-76c0-4651-b361-c49764e0dab3"/>
        <s v="5e2d2454-e462-42e7-b5c3-de958a647b9f"/>
        <s v="67f8ab57-0572-4bb5-8bee-2ebdb44788bd"/>
        <s v="698eecba-da98-4a57-966a-dfc43513198c"/>
        <s v="ca6cb87c-dfb8-4708-91d2-125a95e19cb6"/>
        <s v="a2251838-35e1-492e-8a74-bec56951743e"/>
        <s v="ab341860-fefd-420b-b5ef-aa99010f5ddf"/>
        <s v="e80bb7eb-a499-49cf-87e5-1bbc22e9e671"/>
        <s v="8b3e00e7-6151-487e-8f02-7fe87d5d9031"/>
        <s v="9ad73702-140a-442e-90e8-57f88986148f"/>
        <s v="c095e099-7e24-4205-bb00-d206f8542953"/>
        <s v="9df497f1-6b5a-474d-b436-7eaa03ea038f"/>
        <s v="156e3ae5-4fe4-4735-9c29-b6dac1d7fbe9"/>
        <s v="cef980ce-c471-421a-85f2-b928beb9c9e2"/>
        <s v="dd9539fc-f7cd-4b75-9d26-3e763d3703f8"/>
        <s v="f555a628-dd15-4fb4-9680-51b70723b796"/>
        <s v="773b8350-2743-40df-9e15-428a833cf90f"/>
        <s v="72789d75-97f0-4fcf-9c35-1dc942260a44"/>
        <s v="fb2323e7-d6a2-4379-a0c6-a8a74748f7ea"/>
        <s v="bef874d7-6251-474d-a1f9-c40838330558"/>
        <s v="3a724b9f-56fb-4c72-ad6a-1bfc81be81f4"/>
        <s v="ef82c4d6-438d-48b1-9719-64f8d2fb05ca"/>
        <s v="50c6fa8c-27a0-408c-8b44-361f16c7354a"/>
        <s v="7c2b940d-9045-4445-958c-d60ea07f7f47"/>
        <s v="86fe0ded-fe38-484b-b489-362c10345193"/>
        <s v="62b22fd5-51c6-42e4-af48-744f7abc9f0b"/>
        <s v="1dd95d4c-0637-4dca-9f46-30adbaaa6300"/>
        <s v="ef89c2e7-aa17-4666-9b6e-83a96f2af3b2"/>
        <s v="2449213a-c2fa-4184-a232-4672f64e8f4a"/>
        <s v="b49b93d5-1e70-4e19-87f7-9ee0e299cb48"/>
        <s v="a11b26b0-0823-4adf-bf75-12c56e05724d"/>
        <s v="1d8cca3b-6261-4790-83a0-61c445a16970"/>
        <s v="9dbdc6ff-5fad-4a0d-8aa8-3cd65804a881"/>
        <s v="bebbe60d-3085-4e6d-a31c-c5d2cd96a6a1"/>
        <s v="0f424ffa-8abb-472c-8aae-0c3ad31224e0"/>
        <s v="03927935-8d5f-42c0-83f0-ba7756b8002a"/>
        <s v="d1cae193-7ed6-4f4e-a875-176629530a13"/>
        <s v="4202faf9-dceb-4f56-a31c-a36b059ebb2e"/>
        <s v="feeac13d-5813-42c2-a33e-383454e27ea6"/>
        <s v="8fad725d-9d0b-4f5e-996d-362dfec24805"/>
        <s v="c20166e3-ca68-4a98-b48e-f9a86aeb5a32"/>
        <s v="1aac3ca1-920c-404e-8063-d5251152797e"/>
        <s v="ffbdfd47-dc79-42f0-9338-94b3854ca896"/>
        <s v="08df6b19-7c3a-4037-a0d5-c16e961139cf"/>
        <s v="393031a6-c82a-4c15-9733-f669852d8585"/>
        <s v="d61a43f2-8ecb-4971-98c8-ece658ea0417"/>
        <s v="2d5c6415-fedc-48f9-b78b-094cb5178761"/>
        <s v="3aeb5bc0-f63d-407c-a9d2-1bf8b1954990"/>
        <s v="b2c92c12-9bd9-4220-b38f-4acf66270136"/>
        <s v="28702bb1-5931-49b4-b061-46ffbecba4c8"/>
        <s v="e5039055-f90b-4724-b883-a8ea44e8a604"/>
        <s v="8c1a612b-fff9-4f34-b94d-9109593985b5"/>
        <s v="773a13fb-3750-4d77-b367-2754da2e6e6c"/>
        <s v="20e30a4d-fbce-4cd0-9050-f32cd4062cce"/>
        <s v="c6b4195c-aa19-4f26-8fa4-1d2246ddb0ac"/>
        <s v="a908923b-1551-4819-801d-ebf6c503ccb5"/>
        <s v="df4a518a-4ef0-4a9b-93fd-2516d1bfbaba"/>
        <s v="52c1b3c7-f33c-4233-8833-b07eb4d56ffc"/>
        <s v="039d60ba-9c99-4735-95a6-52a708fce7af"/>
        <s v="2a9e9a38-1d5a-474c-8da8-40fd4adb0798"/>
        <s v="338f8437-faa2-4bad-867a-6bdfb63c1dd8"/>
        <s v="dd7516f5-58aa-4383-8dff-06d28340fed5"/>
        <s v="80b2db0c-6a24-45cf-96c2-b4aa72f78920"/>
        <s v="1f69cd43-68bf-4f7e-94dc-2301882ab925"/>
        <s v="76847398-fabb-46b6-97f4-3de414934a25"/>
        <s v="4bebcf4f-2c94-451d-92fa-3935ff283550"/>
        <s v="ac73189c-6fdc-4e00-a0d9-da583db4cb81"/>
        <s v="05dd1ef0-0806-48c9-8967-49fbb2e02961"/>
        <s v="d87d3afc-a370-4e8a-821a-c45bd5e32aef"/>
        <s v="f9d0a163-def1-474a-9380-1f2544f06c4e"/>
        <s v="fa4b0bc6-5121-431f-9028-361fa94501d7"/>
        <s v="49954cf1-faaf-400c-a74b-3d208c3fa29f"/>
        <s v="3fb230b2-b55d-4442-8884-e6660c661a49"/>
        <s v="84403b37-b13b-4d4e-a368-f7d2d9732b86"/>
        <s v="0e5bc44c-98de-4bf6-8273-4d1c23d83f22"/>
        <s v="47e77e2b-6b29-4a13-a37c-3644c9345ce7"/>
        <s v="f367dbe2-40e3-469f-b9b6-6d71951a0518"/>
        <s v="88653e42-cefe-43ec-a918-4b9f501049e2"/>
        <s v="b550f221-72e5-4360-a3ae-b12e7d4fbfff"/>
        <s v="2b66b1c0-5fdd-4329-ac74-9cf41f7550bc"/>
        <s v="b4ca0142-3b23-4fd8-8d20-f686854df9b6"/>
        <s v="07d5e121-623a-45ae-ba31-a27cced4dd7c"/>
        <s v="1932263c-4eec-45b0-94c3-0b503d0daad0"/>
        <s v="20f12d46-e775-427e-aec0-12f0d3100ac5"/>
        <s v="e4bd7d57-03e3-425b-b00b-1433f5d61476"/>
        <s v="69f5a741-8686-4f29-9cb7-6bb9c0ff34b4"/>
        <s v="7ff5101d-3f1c-431b-86ff-76d11fe32b56"/>
        <s v="6e771359-677a-4eb7-84bf-c434481ce3f9"/>
        <s v="ed4879e7-efd1-44ee-b287-c4407881307d"/>
        <s v="e30d04fd-b58c-4e9f-aa0b-20400ef05b6f"/>
        <s v="33d4a096-5b78-41ea-8634-3347daa6b26a"/>
        <s v="cc869dea-38a7-4c54-a6b1-caba3fccb2c1"/>
        <s v="2fb01074-2532-4fd3-89f3-5bf84d03cbdd"/>
        <s v="8b4eb003-401a-4e8a-bba0-fd458d3ac4b9"/>
        <s v="dd3b8d93-3b8d-4d5b-ae66-5ecb06f9f4e6"/>
        <s v="ecdd001e-6ad8-464d-b8c5-ee78d214f218"/>
        <s v="2826ef27-f190-4b53-b489-f5c7e22f6e82"/>
        <s v="20fa5cd3-8f5a-4ade-821d-3ead3e4c1362"/>
        <s v="ae63ad3a-94d7-4681-9551-1e14e18d99ce"/>
        <s v="8625dcb0-3f79-4d31-beb7-78d62b021118"/>
        <s v="cc713ba6-4ca4-4e01-8621-8f7ffcd4fb19"/>
        <s v="b57a5c03-cb85-4da6-9b01-98ffde21c855"/>
        <s v="75fc1b10-b8d1-4539-8562-8912bdf2b5a1"/>
        <s v="33251c76-d8ef-45c9-a7a2-d2d0ca3c4050"/>
        <s v="618a4763-2af5-45a3-a97b-85380ff73f25"/>
        <s v="6282c33d-3665-46a5-a34d-a412816a5ea8"/>
        <s v="1a608f0d-7e41-42ad-86b0-915a8880f9fd"/>
        <s v="88662aba-1601-4cc6-9b16-0641207417e7"/>
        <s v="e4d08ebe-d335-414c-a62c-e6a302fbad7c"/>
        <s v="bf33551d-f629-4535-82b3-3be214ed05bd"/>
        <s v="65578e91-bee5-464d-be37-355efbdc678a"/>
        <s v="fc145cfe-469a-4289-ac91-c01e734c5192"/>
        <s v="a96e2bf4-5865-43b8-b915-486569967b5c"/>
        <s v="139e5ca2-b9e7-4780-821c-f26265739938"/>
        <s v="96062930-2860-4311-8315-d334e47c98ea"/>
        <s v="dba620f1-35bb-4db0-bda3-14883e1fa8ac"/>
        <s v="0dbcad25-daac-43a3-82f8-9ef40b9bcb7e"/>
        <s v="b17078ee-1129-40f2-8f21-ae6a82e2f424"/>
        <s v="b5cbb690-735b-4a80-bfbd-aeed723dc8f5"/>
        <s v="a9584453-c2ea-4172-a5a1-5243c7281f15"/>
        <s v="e15093b0-a07a-4b89-998d-f20b226dded0"/>
        <s v="992e7dea-0374-4263-8a06-09aa827acd0d"/>
        <s v="5ba48aa0-aab6-441b-99e8-484c25d203e3"/>
        <s v="4c1f59df-f6b4-460b-9466-c7725df5672b"/>
        <s v="40e5e8fa-b033-4368-a443-a7378072b635"/>
        <s v="ce91e0c9-7abd-4241-85c2-b1052234c40f"/>
        <s v="dafd518d-d55f-4e0e-af6b-e029bbef627f"/>
        <s v="56e16c2b-659b-4dcb-9bca-e27d331978eb"/>
        <s v="23aa9e67-70bc-4ec1-8d29-d77a793910e6"/>
        <s v="f0041e32-4bc0-4de3-9197-b56179b68b95"/>
        <s v="54f5edf7-e9bf-49f4-b373-9067cf085288"/>
        <s v="9a642c24-a34a-4c3e-9a68-fa2a59581c94"/>
        <s v="66b9b21b-9429-4726-a557-338d6175f16a"/>
        <s v="4c43745b-8063-4ef2-a534-28bbb20ed719"/>
        <s v="9090d244-c1d4-4db0-909b-f39cacb1691c"/>
        <s v="6e6b3eba-3055-484e-bc38-bfd6d7e23908"/>
        <s v="2adb6a67-83ad-4758-83e1-592e3765002d"/>
        <s v="98ecdbc6-cec7-490b-a3e8-6d638278e1e5"/>
        <s v="881f93bd-e669-46b6-81af-b76b84733c88"/>
        <s v="d610de6d-819d-49b4-a949-2308c710fab3"/>
        <s v="eac503ff-79d1-4233-a5c0-7ecfd38a1bdb"/>
        <s v="4d390362-6ef4-46b4-824c-222f577aa515"/>
        <s v="86d77094-a689-4303-a807-092d74ca0c56"/>
        <s v="31bf3b36-bac1-44b5-8a19-e5a80d5a2ad3"/>
        <s v="b0fde8c9-7575-417c-81ca-37f5f7de1a61"/>
        <s v="98e16bc0-3385-49c7-84ad-e7b7119b0fb4"/>
        <s v="fa9f941a-41a0-44be-9b0d-ff111a6c3c25"/>
        <s v="d35169bc-0044-4690-b17a-7c84cb3d7ee7"/>
        <s v="e55b88ff-f086-4962-b771-f867dfa2e52b"/>
        <s v="e83f3278-2c70-4901-9e3f-4f152f5c5cbe"/>
        <s v="9c017e5d-5c41-4fb5-a94a-29d3f73c3dce"/>
        <s v="acac00dc-024e-4609-8486-4d26cfd09276"/>
        <s v="054961d6-0438-43d4-a81b-3fe3fda48455"/>
        <s v="2adfd824-edae-4c39-aa9e-062a9b89bf0d"/>
        <s v="f65a1a2a-4f76-4aac-9ec2-2e0cd4cd82fa"/>
        <s v="d2bddb3b-649e-4503-bc73-7aead273dcbe"/>
        <s v="dbb59fc2-5cff-496e-bd03-c81f7ff35029"/>
        <s v="6e935faf-9502-41d5-967a-d0895acecdbf"/>
        <s v="0654f465-b311-49c4-9d86-fd12c8359b91"/>
        <s v="98082cf3-03a7-49aa-ac14-af79c4a0c1cd"/>
        <s v="bd05bc2c-5a50-4a98-85c5-5e39881d0ee1"/>
        <s v="624aadae-ebbc-41f6-9edf-f24b3567c813"/>
        <s v="cbae0e93-2f39-4045-91bb-91c132620328"/>
        <s v="26b18865-a878-4876-bf0d-f2ca2dc6c2ac"/>
        <s v="685e406b-8171-41eb-9766-c1439c9afcff"/>
        <s v="e919b5aa-f0c9-4bea-a0a1-f43f9638a3c7"/>
        <s v="00b425aa-e7eb-433c-ba08-79fbdc7843b3"/>
        <s v="9abf3e69-e5bc-47ed-afa6-80100ddd49b7"/>
        <s v="a5f3aa63-a5cb-4d9f-a579-49170806989a"/>
        <s v="15d0db43-80a1-4176-a2b3-4047ee4b0498"/>
        <s v="a20847d8-54ed-4b3b-8f70-70e66b58996c"/>
        <s v="d38b8f29-ed0c-4245-a053-6c6cea8713d2"/>
        <s v="0fbc0318-b6e4-416e-b066-8cc99e7f0271"/>
        <s v="50ed6af2-235f-4be1-b8b5-5fb556d1079c"/>
        <s v="bf3cfe56-a832-49e9-bae4-6529fa9fcece"/>
        <s v="7b33241e-fa22-45d7-bc6d-8ae1463e4336"/>
        <s v="4502d7f8-54a1-496c-a9ab-fb0d9be57401"/>
        <s v="756aa13d-13f1-484a-a55d-c720e5540022"/>
        <s v="e5e6190b-28da-4b89-8130-8a09cddd03bb"/>
        <s v="8f15c995-424a-4898-832e-9e1e1b908d6d"/>
        <s v="72a2761a-9ba6-4e98-a791-40e0b6fece9a"/>
        <s v="9b83a437-28b7-405b-abc2-ded76bd8e65f"/>
        <s v="205bf9e7-c42b-43fa-ab4d-e9deec7b009c"/>
        <s v="f02dd043-d01a-4ef6-a829-4aabafaf2b68"/>
        <s v="95a37efe-1cc7-42b6-899d-5f9ec634effd"/>
        <s v="2f9f5bf9-d6b6-45d0-9c87-284dc5fa8ac9"/>
        <s v="4b511edb-7b76-4615-b6b1-465dbf2b6442"/>
        <s v="af405e52-199a-4949-ba9d-82b8afbae6c3"/>
        <s v="46b01630-4321-4bf4-acff-30a0c3ac232c"/>
        <s v="5b0eec4b-a2a1-4a45-9c52-d51ec8fe0b2d"/>
        <s v="cd43cfeb-8938-4b90-9341-45328252f723"/>
        <s v="9b9a9bf5-0a78-491f-8211-550313218ef7"/>
        <s v="f4105d94-c689-437b-b945-23fe03cb8f1e"/>
        <s v="68795e63-1f74-4e70-a36b-3a5f23746ddd"/>
        <s v="7b38a089-fa4a-4dec-88a8-6e3a62937980"/>
        <s v="a1c56342-5033-45a4-86ec-9ad0e2cbef40"/>
        <s v="b3f175d0-15c7-4820-a3f3-e5aed1de4fa8"/>
        <s v="bfdf8a9e-9446-4493-a4d6-ce54645cc176"/>
        <s v="3590a2e5-0c78-4f2f-b9a1-1816fc7aad95"/>
        <s v="e70a26e9-eb6b-46ec-aa3a-5bf369946c6d"/>
        <s v="c83235cc-995d-467b-8c13-33ce07117e78"/>
        <s v="bb2c2c42-8f6d-4117-a1ea-a1fa663eab2b"/>
        <s v="679bcce2-681d-40de-8c15-514db40eb501"/>
        <s v="d5562dab-f4a9-44e3-ba4f-4535e45d8903"/>
        <s v="be216476-0e05-46b9-8bdd-4b9dfc2cd5c7"/>
        <s v="8adab689-e0dd-4541-b218-9a39d63a7486"/>
        <s v="e6e4ac85-f101-45fd-8f81-598725394778"/>
        <s v="96ab64d2-3512-4906-a4ed-017b208a888e"/>
        <s v="16db36e4-d4ae-4486-ab19-4984f49eb5a6"/>
        <s v="44933c86-49ad-4e95-b837-e5069398dbd6"/>
        <s v="af44eaeb-6734-462f-b62d-a54040b1f64d"/>
        <s v="dcbcd86e-a2e8-4f7a-9d6a-f484024d65de"/>
        <s v="c7361a75-c61b-4c77-8602-15be0d326347"/>
        <s v="a3b4e529-02a0-47fc-a04e-e43c11f63e9b"/>
        <s v="240eb6c1-c5cf-455f-a78d-b4f648df480e"/>
        <s v="227400da-81de-4808-82ff-347bd527b331"/>
        <s v="f4098aef-1d50-4ccf-bec0-9878f0344058"/>
        <s v="d20eab0e-bd87-44d8-81a5-0ef1550c54d4"/>
        <s v="548c3ec4-2536-4ca8-966a-45e952c51809"/>
        <s v="160d0b9e-1004-4975-8045-883b940f737e"/>
        <s v="7378e6ca-40fd-4aaa-b504-e26c5f7e07d3"/>
        <s v="7874166b-7c34-46eb-aeaa-ec4854f1a7a3"/>
        <s v="14b3f264-1598-434a-86c5-2c1b8923cba1"/>
        <s v="c6cbb179-6239-430a-b052-5bb650c67350"/>
        <s v="8d20dbea-7ae3-48cf-8ace-37d3673ef518"/>
        <s v="e80d2403-12f3-48a1-84c6-50276d05f2e3"/>
        <s v="664ceba8-a4ef-4def-a4cb-0b4e3825a7e1"/>
        <s v="503a65d5-82ed-45ab-9fde-522dd429e0c9"/>
        <s v="24a703e3-120a-402f-a11a-15c325efc3a9"/>
        <s v="a5005582-6250-49f9-88d1-7e6327e8aeae"/>
        <s v="116febe7-aa0c-4327-9daa-42fc90b15e3d"/>
        <s v="4d7e4449-90b6-4394-8482-36e9863c6992"/>
        <s v="de8e3228-aa64-4f16-b035-50885a2bf7fe"/>
        <s v="976ae5fb-66f1-40a0-ba1a-262bba13834f"/>
        <s v="ab6fc9e7-be72-4448-91b5-ab77d09e1abb"/>
        <s v="832d5e70-777c-4128-9f51-9184e79d4d5f"/>
        <s v="808ea422-c6f6-41d5-bb77-ba5f586076e3"/>
        <s v="c81a58a6-6245-4749-b9a6-edc1099fb91b"/>
        <s v="cae1367a-579e-4b08-9db1-3edffa29559d"/>
        <s v="93098549-3ff0-4579-81c3-df9183278f64"/>
        <s v="5e349e31-1c67-456d-b9ac-d84313b2cc15"/>
        <s v="3e6fdeb2-9e76-4f95-843e-ebcc6f69ed69"/>
        <s v="81ffbbc1-84c8-4b95-8637-da9e8bb62aff"/>
        <s v="91e54b3a-0a4e-4eb7-b97b-8d621c9527d0"/>
        <s v="5da23c06-f146-4080-8a2c-f6a95bd38392"/>
        <s v="7c6d74a8-44ee-4071-9745-ef5a2e0885fc"/>
        <s v="e1dafdd8-ea09-4bb2-8187-715f7baf204d"/>
        <s v="cfa88592-0055-4e42-ab49-6a3bf26ce972"/>
        <s v="a7838837-3c74-4bc2-8504-644fa5dc7c7b"/>
        <s v="b9ab308f-be2b-4272-ba37-e212a78c1cda"/>
        <s v="cd84344b-aef4-42a7-9821-6f30e31b9123"/>
        <s v="b9c3a78f-c8d3-4cee-9370-c51fd8e2ba4c"/>
        <s v="c2de5950-0b2f-42ef-ac09-59b82924b159"/>
        <s v="a8936bd3-86a2-4efb-baf0-cf69bd2098c6"/>
        <s v="d545de36-2a36-4435-ada0-4e30ff741d1c"/>
        <s v="af58e381-49ac-4f36-b202-054f62a10ce2"/>
        <s v="36890df9-7bd3-4c4b-948c-52c8e0f24eb3"/>
        <s v="7448f798-b50a-476c-86fc-cff0e9e4f06c"/>
        <s v="d36d8076-998b-4e1c-9f81-fca3ffb1c2c9"/>
        <s v="9c8fe812-2c64-4b82-abbe-bd4ff9e590e4"/>
        <s v="53e82886-9411-423a-90b4-17eb7111f1d1"/>
        <s v="c4fa9dd1-9160-4261-ae10-7e22fa7199d6"/>
        <s v="24e2e13a-a0e5-4d8c-9d75-24bcdd82016d"/>
        <s v="3cbafcaa-6435-40a0-adf5-e2aa832cb6a7"/>
        <s v="3d992624-4b93-48d9-a188-0ea05e5ecd0a"/>
        <s v="3de674fe-f66b-42a9-8142-452b361c57ab"/>
        <s v="ed825ea8-dda9-402a-964f-bdde895585be"/>
        <s v="749df1ff-f13a-4049-9f3f-a533e28cfc3c"/>
        <s v="9fbd4b9f-5675-4682-996d-66423cf87ff0"/>
        <s v="3e5aed83-5272-4246-a57e-a412a2157489"/>
        <s v="41b72448-c286-4234-9815-80dc24d878a1"/>
        <s v="b4642bad-8959-4298-ac48-1f988ce67bdc"/>
        <s v="e4c80a29-1d5f-4dfc-98b0-b4d7b5e16e19"/>
        <s v="346eba31-7ad5-4f81-b267-8417ec023a99"/>
        <s v="5ba1cdb6-99ae-49de-ae78-33c5b11bb2df"/>
        <s v="cd59bece-b5bc-4583-bfc3-4af19af08b9a"/>
        <s v="e79d1be2-7f29-486c-8a73-0eaa16bb4fb0"/>
        <s v="45ffa36b-63c2-423d-8b32-bc8635d5870d"/>
        <s v="d813a70f-5a9c-40b5-b3b8-87d38301c5b9"/>
        <s v="054f0566-bb1a-48e2-90b9-1e51681e5658"/>
        <s v="326ea68d-f4e3-4152-b12c-d4340b177efd"/>
        <s v="d8ce8d9a-29de-476a-94ce-14b39a9a56bc"/>
        <s v="4037fffa-14b8-417e-b555-5ded8ea5e386"/>
        <s v="7c8765b6-b04a-4620-89ab-05a8806094aa"/>
        <s v="d9371f2a-506e-4fc6-905d-2cb96b76911f"/>
        <s v="b334ebbc-ef6e-4981-be23-bd25ac788719"/>
        <s v="0df099c5-62a7-4dc7-b273-38fcdfa69923"/>
        <s v="e47e3d10-1d72-40fe-aa28-9858dd07edc6"/>
        <s v="28e2f201-fbb2-4429-95ab-42c50f08502e"/>
        <s v="b85f2ec4-9d6f-41b5-8420-e63bc34dfc64"/>
        <s v="8c46e2bc-4f12-40d5-b028-dab48f0c417a"/>
        <s v="ea8760aa-da4d-4a76-aa34-bfb4e62a3fb5"/>
        <s v="f230400a-386b-41c0-9ffe-6c117b51aca6"/>
        <s v="148680de-b9e7-49c6-96f4-8941ad283c0d"/>
        <s v="a0ce5b5f-ca56-4921-b942-2f1efed97f9e"/>
        <s v="047cd56e-fd6c-4364-8191-cbeb175bf448"/>
        <s v="835875c3-9520-49e4-a8fc-f210dac15a07"/>
        <s v="d112460c-bba1-4642-b4a8-bcd354b7e75b"/>
        <s v="e6b0643c-1884-47d8-be9f-9ff698bc2c7a"/>
        <s v="0a8f541d-052b-4051-bc24-1ca590425d14"/>
        <s v="eee05fb7-d2d6-440d-9871-1121c9e8060c"/>
        <s v="d0d65fdd-176b-4101-8fe5-143bbae8d99f"/>
        <s v="b5b46896-6432-4fe8-9ecc-ac5b968d4f41"/>
        <s v="93658891-e460-4a02-85ac-c61220de5de4"/>
        <s v="9c7221e4-ec1a-48a3-ad51-fa2bf13a2ff3"/>
        <s v="e195f855-dd4b-4f7e-b559-ddc787fde43c"/>
        <s v="28a3938c-4ba4-45e2-8718-e12c32a564ff"/>
        <s v="f3807543-9722-4f90-af07-3516e8a14cd3"/>
        <s v="e03cc361-214e-40ee-a30c-2ebd39dc2c06"/>
        <s v="c9d9db15-7efa-4e99-8204-5f8c3a72a669"/>
        <s v="9dbff93f-bc03-4029-a530-53ae4db1762e"/>
        <s v="22e7ee59-1414-4ca8-b455-f1f64574a37e"/>
        <s v="682e4002-a9f1-4f7c-97ea-0686e5f14395"/>
        <s v="32e97761-2e97-4c72-b3c7-3944f95c46f7"/>
        <s v="59f88a69-0466-4d6b-96ba-d500ded1b802"/>
        <s v="ad982a08-7ad0-4668-a892-d63b89aeb616"/>
        <s v="bdc5a588-d0ab-4ea4-815f-47ca204e6817"/>
        <s v="b86137c3-e5ff-47d4-94e1-53ca45568d6d"/>
        <s v="b0f62b9e-da34-4d17-9e31-e1f9b30cc272"/>
        <s v="99605cd1-cab2-4a0a-877e-2817ddd1b251"/>
        <s v="e4ed458b-010a-43f8-b877-87e2bc8a8038"/>
        <s v="bd869312-3506-4af5-92eb-e96b24b7d424"/>
        <s v="6b0efd01-00dd-48b3-acea-35a393d5e33b"/>
        <s v="89de7a2c-7c26-4722-a53d-c9ce208d549b"/>
        <s v="f317930e-5199-4cf1-80d9-a24e0a833038"/>
        <s v="74e56c68-2ca5-40cb-ab78-a4ee385127f1"/>
        <s v="714d85bd-e197-4c14-aa06-9b5b510d115a"/>
        <s v="a3289b58-a62f-45c2-b0cc-8eec3b3fd363"/>
        <s v="b51e3a7b-acdf-4038-867c-cafabbe74e1b"/>
        <s v="7d7a0bfa-598c-4a5c-99b2-b59530519f6a"/>
        <s v="96b09e29-89e4-49df-9a45-a71745ac1564"/>
        <s v="49262a13-37c6-4f46-8860-95c2f812b022"/>
        <s v="2cd9f51a-10c3-43bd-a478-a3998d682a61"/>
        <s v="970a06dc-f444-4dae-9d21-ae7c60252b8d"/>
        <s v="845414a1-185f-4df3-a6d5-eb2ee891f80c"/>
        <s v="dec8633f-b738-48a4-a373-624bda3f22d1"/>
        <s v="24e90316-75f8-4092-aa4f-44cfeafd080b"/>
        <s v="bbca76e0-e56a-47e7-82f8-11266c2c90a7"/>
        <s v="ca92720a-c2e8-4ae2-b1f0-e15089419b16"/>
        <s v="43db0235-1184-48fb-bd33-5a642d79f3f6"/>
        <s v="604c83ca-53b9-4632-b967-522170c43406"/>
        <s v="d5475c92-5825-42e1-8d1f-90ad830a2393"/>
        <s v="b8d08f28-bc50-4aeb-a3d8-5381dcd29168"/>
        <s v="c5b0b3c8-2038-48f6-8cb1-2015624aff3d"/>
        <s v="91b92f8b-8a84-4529-b662-f7edb5b85fb3"/>
        <s v="4e2e2c6e-08e7-4744-a7f3-c30f26e5e2da"/>
        <s v="c2ebbadc-8428-4344-b194-8be49de0103a"/>
        <s v="35cb60f2-6a75-4179-bd14-f9d493510969"/>
        <s v="fd642ae2-6434-4207-b415-14cc77fd7fd1"/>
        <s v="66f0f769-8909-41ba-98fa-547216752b38"/>
        <s v="7770ca8d-ac69-4006-81b8-4ea71f217475"/>
        <s v="08439ba1-2afd-45c3-a748-4ffbbfd9de84"/>
        <s v="185aeb98-3d9f-4e80-bba6-857733964543"/>
        <s v="11d56acf-680f-45e2-a0c3-6cdd9937f592"/>
        <s v="366e3cca-8c47-4390-941c-c2bce3352f8b"/>
        <s v="7de5b4a3-37ef-473e-b2de-c6d586901942"/>
        <s v="dbf9a793-ecb9-4b39-b103-d90417426bd0"/>
        <s v="9a924849-2156-4d5e-8361-50061981f0d4"/>
        <s v="851143e5-93aa-4480-8cdc-538931ffba99"/>
        <s v="99cb37c7-6e7f-4ad2-9efb-00b7a397b217"/>
        <s v="e9b74954-a41a-4d31-9d5e-b2d16518020a"/>
      </sharedItems>
    </cacheField>
    <cacheField name="order_date" numFmtId="164">
      <sharedItems containsSemiMixedTypes="0" containsNonDate="0" containsDate="1" containsString="0" minDate="2023-01-01T00:00:00Z" maxDate="2024-01-01T00:00:00Z">
        <d v="2023-06-22T00:00:00Z"/>
        <d v="2023-02-17T00:00:00Z"/>
        <d v="2023-04-28T00:00:00Z"/>
        <d v="2023-07-12T00:00:00Z"/>
        <d v="2023-11-20T00:00:00Z"/>
        <d v="2023-09-09T00:00:00Z"/>
        <d v="2023-07-15T00:00:00Z"/>
        <d v="2023-12-26T00:00:00Z"/>
        <d v="2023-01-10T00:00:00Z"/>
        <d v="2023-07-31T00:00:00Z"/>
        <d v="2023-10-05T00:00:00Z"/>
        <d v="2023-08-31T00:00:00Z"/>
        <d v="2023-10-20T00:00:00Z"/>
        <d v="2023-03-29T00:00:00Z"/>
        <d v="2023-03-12T00:00:00Z"/>
        <d v="2023-03-30T00:00:00Z"/>
        <d v="2023-11-11T00:00:00Z"/>
        <d v="2023-07-13T00:00:00Z"/>
        <d v="2023-02-09T00:00:00Z"/>
        <d v="2023-06-24T00:00:00Z"/>
        <d v="2023-12-04T00:00:00Z"/>
        <d v="2023-06-15T00:00:00Z"/>
        <d v="2023-01-26T00:00:00Z"/>
        <d v="2023-11-30T00:00:00Z"/>
        <d v="2023-03-14T00:00:00Z"/>
        <d v="2023-09-23T00:00:00Z"/>
        <d v="2023-04-26T00:00:00Z"/>
        <d v="2023-09-01T00:00:00Z"/>
        <d v="2023-07-17T00:00:00Z"/>
        <d v="2023-12-02T00:00:00Z"/>
        <d v="2023-12-05T00:00:00Z"/>
        <d v="2023-04-10T00:00:00Z"/>
        <d v="2023-06-27T00:00:00Z"/>
        <d v="2023-10-13T00:00:00Z"/>
        <d v="2023-05-28T00:00:00Z"/>
        <d v="2023-10-16T00:00:00Z"/>
        <d v="2023-07-05T00:00:00Z"/>
        <d v="2023-05-08T00:00:00Z"/>
        <d v="2023-02-02T00:00:00Z"/>
        <d v="2023-02-01T00:00:00Z"/>
        <d v="2023-07-22T00:00:00Z"/>
        <d v="2023-09-02T00:00:00Z"/>
        <d v="2023-06-01T00:00:00Z"/>
        <d v="2023-06-13T00:00:00Z"/>
        <d v="2023-07-03T00:00:00Z"/>
        <d v="2023-01-29T00:00:00Z"/>
        <d v="2023-10-18T00:00:00Z"/>
        <d v="2023-05-09T00:00:00Z"/>
        <d v="2023-02-23T00:00:00Z"/>
        <d v="2023-02-08T00:00:00Z"/>
        <d v="2023-10-01T00:00:00Z"/>
        <d v="2023-04-16T00:00:00Z"/>
        <d v="2023-02-12T00:00:00Z"/>
        <d v="2023-09-15T00:00:00Z"/>
        <d v="2023-11-18T00:00:00Z"/>
        <d v="2023-02-27T00:00:00Z"/>
        <d v="2023-10-19T00:00:00Z"/>
        <d v="2023-12-25T00:00:00Z"/>
        <d v="2023-04-30T00:00:00Z"/>
        <d v="2023-09-25T00:00:00Z"/>
        <d v="2023-03-24T00:00:00Z"/>
        <d v="2023-04-02T00:00:00Z"/>
        <d v="2023-05-02T00:00:00Z"/>
        <d v="2023-03-26T00:00:00Z"/>
        <d v="2023-07-23T00:00:00Z"/>
        <d v="2023-11-21T00:00:00Z"/>
        <d v="2023-09-20T00:00:00Z"/>
        <d v="2023-05-12T00:00:00Z"/>
        <d v="2023-12-23T00:00:00Z"/>
        <d v="2023-06-30T00:00:00Z"/>
        <d v="2023-12-01T00:00:00Z"/>
        <d v="2023-05-24T00:00:00Z"/>
        <d v="2023-05-29T00:00:00Z"/>
        <d v="2023-08-16T00:00:00Z"/>
        <d v="2023-10-07T00:00:00Z"/>
        <d v="2023-07-27T00:00:00Z"/>
        <d v="2023-12-08T00:00:00Z"/>
        <d v="2023-02-18T00:00:00Z"/>
        <d v="2023-11-02T00:00:00Z"/>
        <d v="2023-03-11T00:00:00Z"/>
        <d v="2023-06-19T00:00:00Z"/>
        <d v="2023-04-06T00:00:00Z"/>
        <d v="2023-04-05T00:00:00Z"/>
        <d v="2023-09-14T00:00:00Z"/>
        <d v="2023-06-28T00:00:00Z"/>
        <d v="2023-11-01T00:00:00Z"/>
        <d v="2023-12-16T00:00:00Z"/>
        <d v="2023-04-09T00:00:00Z"/>
        <d v="2023-07-21T00:00:00Z"/>
        <d v="2023-01-01T00:00:00Z"/>
        <d v="2023-02-13T00:00:00Z"/>
        <d v="2023-01-24T00:00:00Z"/>
        <d v="2023-07-07T00:00:00Z"/>
        <d v="2023-05-11T00:00:00Z"/>
        <d v="2023-03-04T00:00:00Z"/>
        <d v="2023-08-11T00:00:00Z"/>
        <d v="2023-05-04T00:00:00Z"/>
        <d v="2023-07-29T00:00:00Z"/>
        <d v="2023-02-20T00:00:00Z"/>
        <d v="2023-09-28T00:00:00Z"/>
        <d v="2023-02-11T00:00:00Z"/>
        <d v="2023-02-28T00:00:00Z"/>
        <d v="2023-02-06T00:00:00Z"/>
        <d v="2023-09-24T00:00:00Z"/>
        <d v="2023-03-28T00:00:00Z"/>
        <d v="2023-12-27T00:00:00Z"/>
        <d v="2023-01-12T00:00:00Z"/>
        <d v="2023-09-16T00:00:00Z"/>
        <d v="2023-11-04T00:00:00Z"/>
        <d v="2023-03-22T00:00:00Z"/>
        <d v="2023-07-02T00:00:00Z"/>
        <d v="2023-10-22T00:00:00Z"/>
        <d v="2023-10-03T00:00:00Z"/>
        <d v="2023-07-04T00:00:00Z"/>
        <d v="2023-03-19T00:00:00Z"/>
        <d v="2023-10-14T00:00:00Z"/>
        <d v="2023-10-08T00:00:00Z"/>
        <d v="2023-05-06T00:00:00Z"/>
        <d v="2023-01-04T00:00:00Z"/>
        <d v="2023-08-15T00:00:00Z"/>
        <d v="2023-12-30T00:00:00Z"/>
        <d v="2023-09-27T00:00:00Z"/>
        <d v="2023-10-24T00:00:00Z"/>
        <d v="2023-11-25T00:00:00Z"/>
        <d v="2023-01-20T00:00:00Z"/>
        <d v="2023-09-06T00:00:00Z"/>
        <d v="2023-11-14T00:00:00Z"/>
        <d v="2023-12-19T00:00:00Z"/>
        <d v="2023-09-18T00:00:00Z"/>
        <d v="2023-08-26T00:00:00Z"/>
        <d v="2023-05-20T00:00:00Z"/>
        <d v="2023-04-20T00:00:00Z"/>
        <d v="2023-11-28T00:00:00Z"/>
        <d v="2023-01-17T00:00:00Z"/>
        <d v="2023-06-02T00:00:00Z"/>
        <d v="2023-05-30T00:00:00Z"/>
        <d v="2023-04-21T00:00:00Z"/>
        <d v="2023-03-25T00:00:00Z"/>
        <d v="2023-06-11T00:00:00Z"/>
        <d v="2023-08-17T00:00:00Z"/>
        <d v="2023-11-23T00:00:00Z"/>
        <d v="2023-10-15T00:00:00Z"/>
        <d v="2023-01-14T00:00:00Z"/>
        <d v="2023-11-24T00:00:00Z"/>
        <d v="2023-03-21T00:00:00Z"/>
        <d v="2023-10-02T00:00:00Z"/>
        <d v="2023-02-10T00:00:00Z"/>
        <d v="2023-06-16T00:00:00Z"/>
        <d v="2023-04-22T00:00:00Z"/>
        <d v="2023-05-10T00:00:00Z"/>
        <d v="2023-08-12T00:00:00Z"/>
        <d v="2023-10-28T00:00:00Z"/>
        <d v="2023-08-05T00:00:00Z"/>
        <d v="2023-01-25T00:00:00Z"/>
        <d v="2023-03-09T00:00:00Z"/>
        <d v="2023-09-17T00:00:00Z"/>
        <d v="2023-08-23T00:00:00Z"/>
        <d v="2023-07-24T00:00:00Z"/>
        <d v="2023-08-03T00:00:00Z"/>
        <d v="2023-07-09T00:00:00Z"/>
        <d v="2023-08-04T00:00:00Z"/>
        <d v="2023-04-15T00:00:00Z"/>
        <d v="2023-08-01T00:00:00Z"/>
        <d v="2023-05-19T00:00:00Z"/>
        <d v="2023-06-06T00:00:00Z"/>
        <d v="2023-01-28T00:00:00Z"/>
        <d v="2023-08-06T00:00:00Z"/>
        <d v="2023-11-06T00:00:00Z"/>
        <d v="2023-01-30T00:00:00Z"/>
        <d v="2023-02-05T00:00:00Z"/>
        <d v="2023-10-23T00:00:00Z"/>
        <d v="2023-03-15T00:00:00Z"/>
        <d v="2023-10-25T00:00:00Z"/>
        <d v="2023-10-30T00:00:00Z"/>
        <d v="2023-08-07T00:00:00Z"/>
        <d v="2023-12-31T00:00:00Z"/>
        <d v="2023-07-19T00:00:00Z"/>
        <d v="2023-03-03T00:00:00Z"/>
        <d v="2023-12-20T00:00:00Z"/>
        <d v="2023-02-14T00:00:00Z"/>
        <d v="2023-02-03T00:00:00Z"/>
        <d v="2023-05-14T00:00:00Z"/>
        <d v="2023-08-21T00:00:00Z"/>
        <d v="2023-09-13T00:00:00Z"/>
        <d v="2023-09-12T00:00:00Z"/>
        <d v="2023-05-17T00:00:00Z"/>
        <d v="2023-12-14T00:00:00Z"/>
        <d v="2023-06-18T00:00:00Z"/>
        <d v="2023-06-26T00:00:00Z"/>
        <d v="2023-04-25T00:00:00Z"/>
        <d v="2023-08-30T00:00:00Z"/>
        <d v="2023-10-17T00:00:00Z"/>
        <d v="2023-05-27T00:00:00Z"/>
        <d v="2023-08-10T00:00:00Z"/>
        <d v="2023-12-07T00:00:00Z"/>
        <d v="2023-01-03T00:00:00Z"/>
        <d v="2023-12-24T00:00:00Z"/>
        <d v="2023-09-11T00:00:00Z"/>
        <d v="2023-11-19T00:00:00Z"/>
        <d v="2023-05-31T00:00:00Z"/>
        <d v="2023-05-26T00:00:00Z"/>
        <d v="2023-07-18T00:00:00Z"/>
        <d v="2023-12-15T00:00:00Z"/>
        <d v="2023-04-04T00:00:00Z"/>
        <d v="2023-12-12T00:00:00Z"/>
        <d v="2023-11-26T00:00:00Z"/>
        <d v="2023-03-05T00:00:00Z"/>
        <d v="2023-04-17T00:00:00Z"/>
        <d v="2023-06-14T00:00:00Z"/>
        <d v="2023-04-27T00:00:00Z"/>
        <d v="2023-07-11T00:00:00Z"/>
        <d v="2023-08-27T00:00:00Z"/>
        <d v="2023-06-10T00:00:00Z"/>
        <d v="2023-03-23T00:00:00Z"/>
        <d v="2023-05-01T00:00:00Z"/>
        <d v="2023-11-17T00:00:00Z"/>
        <d v="2023-08-09T00:00:00Z"/>
        <d v="2023-10-09T00:00:00Z"/>
        <d v="2023-10-12T00:00:00Z"/>
        <d v="2023-10-04T00:00:00Z"/>
        <d v="2023-01-23T00:00:00Z"/>
        <d v="2023-05-16T00:00:00Z"/>
        <d v="2023-05-22T00:00:00Z"/>
        <d v="2023-01-06T00:00:00Z"/>
        <d v="2023-01-05T00:00:00Z"/>
        <d v="2023-10-10T00:00:00Z"/>
        <d v="2023-03-16T00:00:00Z"/>
        <d v="2023-11-05T00:00:00Z"/>
        <d v="2023-08-08T00:00:00Z"/>
        <d v="2023-12-28T00:00:00Z"/>
        <d v="2023-02-21T00:00:00Z"/>
        <d v="2023-06-08T00:00:00Z"/>
        <d v="2023-11-08T00:00:00Z"/>
        <d v="2023-12-10T00:00:00Z"/>
        <d v="2023-03-01T00:00:00Z"/>
        <d v="2023-12-03T00:00:00Z"/>
        <d v="2023-06-04T00:00:00Z"/>
        <d v="2023-05-05T00:00:00Z"/>
        <d v="2023-06-17T00:00:00Z"/>
        <d v="2023-07-28T00:00:00Z"/>
        <d v="2023-09-22T00:00:00Z"/>
        <d v="2023-03-02T00:00:00Z"/>
        <d v="2023-02-26T00:00:00Z"/>
        <d v="2023-04-11T00:00:00Z"/>
        <d v="2023-01-31T00:00:00Z"/>
        <d v="2023-02-24T00:00:00Z"/>
        <d v="2023-06-03T00:00:00Z"/>
        <d v="2023-12-09T00:00:00Z"/>
        <d v="2023-01-08T00:00:00Z"/>
        <d v="2023-05-18T00:00:00Z"/>
        <d v="2023-12-06T00:00:00Z"/>
        <d v="2023-05-07T00:00:00Z"/>
        <d v="2023-10-26T00:00:00Z"/>
        <d v="2023-03-07T00:00:00Z"/>
        <d v="2023-01-21T00:00:00Z"/>
        <d v="2023-04-23T00:00:00Z"/>
        <d v="2023-11-29T00:00:00Z"/>
        <d v="2023-11-27T00:00:00Z"/>
        <d v="2023-08-14T00:00:00Z"/>
        <d v="2023-07-06T00:00:00Z"/>
        <d v="2023-12-22T00:00:00Z"/>
        <d v="2023-11-22T00:00:00Z"/>
        <d v="2023-05-15T00:00:00Z"/>
        <d v="2023-01-27T00:00:00Z"/>
        <d v="2023-08-13T00:00:00Z"/>
        <d v="2023-09-04T00:00:00Z"/>
        <d v="2023-08-02T00:00:00Z"/>
        <d v="2023-04-19T00:00:00Z"/>
        <d v="2023-04-13T00:00:00Z"/>
        <d v="2023-04-18T00:00:00Z"/>
        <d v="2023-06-21T00:00:00Z"/>
        <d v="2023-02-16T00:00:00Z"/>
        <d v="2023-06-29T00:00:00Z"/>
        <d v="2023-03-31T00:00:00Z"/>
        <d v="2023-04-07T00:00:00Z"/>
        <d v="2023-07-26T00:00:00Z"/>
        <d v="2023-11-12T00:00:00Z"/>
        <d v="2023-11-10T00:00:00Z"/>
        <d v="2023-06-23T00:00:00Z"/>
        <d v="2023-08-22T00:00:00Z"/>
        <d v="2023-05-13T00:00:00Z"/>
        <d v="2023-07-14T00:00:00Z"/>
        <d v="2023-07-10T00:00:00Z"/>
        <d v="2023-07-25T00:00:00Z"/>
        <d v="2023-12-21T00:00:00Z"/>
        <d v="2023-04-01T00:00:00Z"/>
        <d v="2023-10-31T00:00:00Z"/>
        <d v="2023-01-07T00:00:00Z"/>
        <d v="2023-09-03T00:00:00Z"/>
        <d v="2023-01-16T00:00:00Z"/>
        <d v="2023-08-18T00:00:00Z"/>
        <d v="2023-09-26T00:00:00Z"/>
        <d v="2023-03-08T00:00:00Z"/>
        <d v="2023-06-05T00:00:00Z"/>
        <d v="2023-12-11T00:00:00Z"/>
        <d v="2023-07-08T00:00:00Z"/>
        <d v="2023-04-03T00:00:00Z"/>
        <d v="2023-06-09T00:00:00Z"/>
      </sharedItems>
      <fieldGroup base="2">
        <rangePr autoStart="0" autoEnd="0" groupBy="months" startDate="2023-01-01T00:00:00Z" endDate="2024-01-01T00:00:00Z"/>
        <groupItems>
          <s v="&lt;01/01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4"/>
        </groupItems>
      </fieldGroup>
    </cacheField>
    <cacheField name="product_id" numFmtId="49">
      <sharedItems>
        <s v="47905535"/>
        <s v="3738306"/>
        <s v="23771949"/>
        <s v="46541918"/>
        <s v="75991326"/>
        <s v="63074284"/>
        <s v="52185519"/>
        <s v="53348661"/>
        <s v="60271426"/>
        <s v="83975295"/>
        <s v="29643127"/>
        <s v="27862049"/>
        <s v="79151177"/>
        <s v="38009174"/>
        <s v="49486230"/>
        <s v="19827308"/>
        <s v="32922998"/>
        <s v="21141492"/>
        <s v="79496018"/>
        <s v="27055465"/>
        <s v="60433190"/>
        <s v="23837508"/>
        <s v="46988256"/>
        <s v="98634170"/>
        <s v="43441525"/>
        <s v="70670486"/>
        <s v="96799833"/>
        <s v="20416430"/>
        <s v="77486295"/>
        <s v="74203543"/>
        <s v="10645932"/>
        <s v="56213577"/>
        <s v="72566657"/>
        <s v="91187215"/>
        <s v="8673619"/>
        <s v="60492449"/>
        <s v="81850204"/>
        <s v="15573353"/>
        <s v="97482765"/>
        <s v="1015348"/>
        <s v="81841189"/>
        <s v="94031270"/>
        <s v="22742797"/>
        <s v="8601148"/>
        <s v="16346376"/>
        <s v="98852604"/>
        <s v="96934586"/>
        <s v="57745428"/>
        <s v="23750579"/>
        <s v="94301786"/>
        <s v="23695825"/>
        <s v="7677502"/>
        <s v="39317216"/>
        <s v="88694313"/>
        <s v="60875037"/>
        <s v="94678413"/>
        <s v="1566635"/>
        <s v="47680647"/>
        <s v="72666999"/>
        <s v="47854697"/>
        <s v="25067743"/>
        <s v="13536091"/>
        <s v="52271120"/>
        <s v="90320866"/>
        <s v="62467483"/>
        <s v="2721170"/>
        <s v="44460945"/>
        <s v="57104379"/>
        <s v="48361606"/>
        <s v="1504408"/>
        <s v="902922"/>
        <s v="71920825"/>
        <s v="11191315"/>
        <s v="76117787"/>
        <s v="28125686"/>
        <s v="21808319"/>
        <s v="65858981"/>
        <s v="64391298"/>
        <s v="65458501"/>
        <s v="243223"/>
        <s v="17724425"/>
        <s v="2553184"/>
        <s v="72453193"/>
        <s v="35614685"/>
        <s v="50536061"/>
        <s v="84240415"/>
        <s v="56043242"/>
        <s v="58127391"/>
        <s v="99164041"/>
        <s v="925266"/>
        <s v="39830838"/>
        <s v="78799554"/>
        <s v="51065270"/>
        <s v="36903979"/>
        <s v="66226673"/>
        <s v="34129043"/>
        <s v="21242649"/>
        <s v="86586771"/>
        <s v="14954443"/>
        <s v="69807886"/>
        <s v="36460069"/>
        <s v="81400768"/>
        <s v="85878785"/>
        <s v="79290951"/>
        <s v="34613122"/>
        <s v="97275725"/>
        <s v="74758302"/>
        <s v="58468913"/>
        <s v="42822158"/>
        <s v="30077195"/>
        <s v="80279297"/>
        <s v="41452752"/>
        <s v="5119141"/>
        <s v="49520767"/>
        <s v="63164763"/>
        <s v="76263637"/>
        <s v="41275542"/>
        <s v="75327255"/>
        <s v="37218997"/>
        <s v="75215248"/>
        <s v="51165543"/>
        <s v="50342280"/>
        <s v="27318416"/>
        <s v="6167721"/>
        <s v="20121693"/>
        <s v="14199134"/>
        <s v="46287458"/>
        <s v="26422138"/>
        <s v="85715868"/>
        <s v="47025271"/>
        <s v="33127613"/>
        <s v="53152336"/>
        <s v="98575978"/>
        <s v="84409928"/>
        <s v="43881475"/>
        <s v="21078880"/>
        <s v="99866594"/>
        <s v="53572806"/>
        <s v="72018026"/>
        <s v="10543108"/>
        <s v="32568950"/>
        <s v="63609394"/>
        <s v="7062315"/>
        <s v="92544758"/>
        <s v="86754842"/>
        <s v="78565647"/>
        <s v="3746622"/>
        <s v="27329313"/>
        <s v="48829274"/>
        <s v="17362108"/>
        <s v="80119227"/>
        <s v="93551168"/>
        <s v="72598399"/>
        <s v="39979414"/>
        <s v="26132242"/>
        <s v="45275814"/>
        <s v="16003569"/>
        <s v="35691518"/>
        <s v="79743600"/>
        <s v="55218474"/>
        <s v="9228955"/>
        <s v="71647401"/>
        <s v="60712455"/>
        <s v="49277098"/>
        <s v="52604294"/>
        <s v="21687822"/>
        <s v="65285923"/>
        <s v="11313731"/>
        <s v="6545949"/>
        <s v="78047631"/>
        <s v="70896534"/>
        <s v="95422435"/>
        <s v="15624499"/>
        <s v="26012667"/>
        <s v="11938132"/>
        <s v="57891224"/>
        <s v="99907433"/>
        <s v="80710097"/>
        <s v="32738490"/>
        <s v="91258090"/>
        <s v="54839403"/>
        <s v="96515457"/>
        <s v="14925009"/>
        <s v="96063699"/>
        <s v="74029785"/>
        <s v="10012666"/>
        <s v="92381001"/>
        <s v="66426059"/>
        <s v="68385934"/>
        <s v="6780357"/>
        <s v="72933039"/>
        <s v="14554223"/>
        <s v="96406199"/>
        <s v="72636626"/>
        <s v="87950984"/>
        <s v="33867397"/>
        <s v="18122404"/>
        <s v="51298920"/>
        <s v="86405201"/>
        <s v="83794605"/>
        <s v="39435149"/>
        <s v="75404154"/>
        <s v="43533336"/>
        <s v="61842564"/>
        <s v="8086143"/>
        <s v="38411861"/>
        <s v="85221444"/>
        <s v="27438930"/>
        <s v="17356459"/>
        <s v="12758210"/>
        <s v="76759475"/>
        <s v="24061797"/>
        <s v="21163418"/>
        <s v="69480904"/>
        <s v="66853329"/>
        <s v="11892458"/>
        <s v="78362994"/>
        <s v="25205213"/>
        <s v="85931817"/>
        <s v="78974593"/>
        <s v="13064853"/>
        <s v="39541727"/>
        <s v="1745474"/>
        <s v="5535552"/>
        <s v="63069846"/>
        <s v="69081507"/>
        <s v="62120845"/>
        <s v="35391364"/>
        <s v="54017467"/>
        <s v="32702026"/>
        <s v="90150333"/>
        <s v="74495856"/>
        <s v="79803236"/>
        <s v="31210980"/>
        <s v="19967769"/>
        <s v="9858329"/>
        <s v="94846980"/>
        <s v="7993640"/>
        <s v="84159489"/>
        <s v="47719453"/>
        <s v="16501591"/>
        <s v="18390001"/>
        <s v="47180734"/>
        <s v="48443692"/>
        <s v="77450999"/>
        <s v="94151268"/>
        <s v="74549320"/>
        <s v="87747119"/>
        <s v="28045557"/>
        <s v="6524708"/>
        <s v="88454955"/>
        <s v="15079251"/>
        <s v="94470727"/>
        <s v="35310679"/>
        <s v="69050077"/>
        <s v="43271689"/>
        <s v="4120049"/>
        <s v="68941574"/>
        <s v="95453088"/>
        <s v="37806507"/>
        <s v="83183089"/>
        <s v="52397875"/>
        <s v="62742054"/>
        <s v="45436000"/>
        <s v="12959204"/>
        <s v="8292124"/>
        <s v="28266051"/>
        <s v="45903908"/>
        <s v="55519557"/>
        <s v="16359420"/>
        <s v="38292811"/>
        <s v="59989196"/>
        <s v="25474725"/>
        <s v="66515241"/>
        <s v="25715545"/>
        <s v="52633294"/>
        <s v="79693059"/>
        <s v="20769109"/>
        <s v="64936093"/>
        <s v="36977963"/>
        <s v="66042259"/>
        <s v="18972962"/>
        <s v="32407570"/>
        <s v="58349076"/>
        <s v="24350495"/>
        <s v="63039627"/>
        <s v="49832693"/>
        <s v="75792091"/>
        <s v="66542476"/>
        <s v="46937322"/>
        <s v="77063847"/>
        <s v="61442238"/>
        <s v="42253990"/>
        <s v="20124946"/>
        <s v="42049517"/>
        <s v="64598840"/>
        <s v="18800562"/>
        <s v="97593164"/>
        <s v="61948525"/>
        <s v="265058"/>
        <s v="58996812"/>
        <s v="19833583"/>
        <s v="62010535"/>
        <s v="69163517"/>
        <s v="12432363"/>
        <s v="63308464"/>
        <s v="38195549"/>
        <s v="83793905"/>
        <s v="91461018"/>
        <s v="55194136"/>
        <s v="49116724"/>
        <s v="53232090"/>
        <s v="7788369"/>
        <s v="33915241"/>
        <s v="17737470"/>
        <s v="37293963"/>
        <s v="56462296"/>
        <s v="87139594"/>
        <s v="40473635"/>
        <s v="49505061"/>
        <s v="9800069"/>
        <s v="94750867"/>
        <s v="16405004"/>
        <s v="51908195"/>
        <s v="80399643"/>
        <s v="11212836"/>
        <s v="37946302"/>
        <s v="88713267"/>
        <s v="71331263"/>
        <s v="76493805"/>
        <s v="86279208"/>
        <s v="46977960"/>
        <s v="58314883"/>
        <s v="35438649"/>
        <s v="46553140"/>
        <s v="43136827"/>
        <s v="53673480"/>
        <s v="56197716"/>
        <s v="21844065"/>
        <s v="63092066"/>
        <s v="65660478"/>
        <s v="99010294"/>
        <s v="83256288"/>
        <s v="47314290"/>
        <s v="33200743"/>
        <s v="48067928"/>
        <s v="2086514"/>
        <s v="50783465"/>
        <s v="6772314"/>
        <s v="88183862"/>
        <s v="54390546"/>
        <s v="19921709"/>
        <s v="75462086"/>
        <s v="22634986"/>
        <s v="90030956"/>
        <s v="47944855"/>
        <s v="52178115"/>
        <s v="22563842"/>
        <s v="55480819"/>
        <s v="61967113"/>
        <s v="72626801"/>
        <s v="56442199"/>
        <s v="78593800"/>
        <s v="37862886"/>
        <s v="3483404"/>
        <s v="85462038"/>
        <s v="94374001"/>
        <s v="66802150"/>
        <s v="63468595"/>
        <s v="21530661"/>
        <s v="45383991"/>
        <s v="90733420"/>
        <s v="27301364"/>
        <s v="66029441"/>
        <s v="9347618"/>
        <s v="95175393"/>
        <s v="90157349"/>
        <s v="41019634"/>
        <s v="73786870"/>
        <s v="22087164"/>
        <s v="52199578"/>
        <s v="93760249"/>
        <s v="48469074"/>
        <s v="17478571"/>
        <s v="91436757"/>
        <s v="72751497"/>
        <s v="39284129"/>
        <s v="8987877"/>
        <s v="42065463"/>
        <s v="36108"/>
        <s v="67931408"/>
        <s v="27901045"/>
        <s v="27233382"/>
        <s v="775212"/>
        <s v="9003644"/>
        <s v="7418211"/>
        <s v="55838993"/>
        <s v="38848322"/>
        <s v="25114669"/>
        <s v="84821560"/>
        <s v="12068098"/>
        <s v="49530001"/>
        <s v="3511442"/>
        <s v="70163445"/>
        <s v="99128159"/>
        <s v="54501645"/>
        <s v="54027534"/>
        <s v="31658126"/>
        <s v="29381487"/>
        <s v="60537997"/>
        <s v="37817350"/>
        <s v="95599069"/>
        <s v="15665324"/>
        <s v="56684339"/>
        <s v="16323056"/>
        <s v="61198906"/>
        <s v="52257650"/>
        <s v="44562724"/>
        <s v="72685518"/>
        <s v="2553146"/>
        <s v="59017899"/>
        <s v="30771314"/>
        <s v="33935508"/>
        <s v="44059057"/>
        <s v="26168272"/>
        <s v="78505018"/>
        <s v="77038012"/>
        <s v="61627994"/>
        <s v="49608090"/>
        <s v="32927276"/>
        <s v="30808775"/>
        <s v="64759982"/>
        <s v="12907779"/>
        <s v="46300560"/>
        <s v="73990833"/>
        <s v="95324883"/>
        <s v="26914633"/>
        <s v="19562681"/>
        <s v="71465562"/>
        <s v="56403756"/>
        <s v="31506632"/>
        <s v="96365106"/>
        <s v="34134139"/>
        <s v="23965423"/>
        <s v="38702792"/>
        <s v="10474389"/>
        <s v="82542252"/>
        <s v="64577623"/>
        <s v="97346678"/>
        <s v="5750573"/>
        <s v="57118444"/>
        <s v="96571576"/>
        <s v="68068509"/>
        <s v="50978960"/>
        <s v="30488397"/>
        <s v="83186189"/>
        <s v="4550723"/>
        <s v="89099964"/>
        <s v="47498341"/>
        <s v="23373341"/>
        <s v="53952165"/>
        <s v="33993621"/>
        <s v="74911431"/>
        <s v="517447"/>
        <s v="76438585"/>
        <s v="91565181"/>
        <s v="29799688"/>
        <s v="54822122"/>
        <s v="14038563"/>
        <s v="85189706"/>
        <s v="38606694"/>
        <s v="88311562"/>
        <s v="84377296"/>
        <s v="94887518"/>
        <s v="5572847"/>
        <s v="1727487"/>
        <s v="22913821"/>
        <s v="70185560"/>
        <s v="53167996"/>
        <s v="81999743"/>
        <s v="5871841"/>
        <s v="19509242"/>
        <s v="25736588"/>
        <s v="5597376"/>
        <s v="69956676"/>
        <s v="32703078"/>
        <s v="2128313"/>
        <s v="16380264"/>
        <s v="21658372"/>
        <s v="1138115"/>
        <s v="81910243"/>
        <s v="79824491"/>
        <s v="99354275"/>
        <s v="25332964"/>
        <s v="76092909"/>
        <s v="41060230"/>
        <s v="41309766"/>
        <s v="67341573"/>
        <s v="65900192"/>
        <s v="97737803"/>
        <s v="43035847"/>
        <s v="6533359"/>
        <s v="9101357"/>
        <s v="91864321"/>
        <s v="77739186"/>
        <s v="82159214"/>
        <s v="46432131"/>
        <s v="34401286"/>
        <s v="74211395"/>
        <s v="83327377"/>
        <s v="97156826"/>
        <s v="6992927"/>
        <s v="65883358"/>
        <s v="39706973"/>
        <s v="8535207"/>
        <s v="57189642"/>
        <s v="98230716"/>
        <s v="37494407"/>
        <s v="95410906"/>
        <s v="70210446"/>
        <s v="11139904"/>
        <s v="55997089"/>
        <s v="97649038"/>
        <s v="55526364"/>
        <s v="498340"/>
        <s v="29064304"/>
        <s v="9279230"/>
        <s v="95468181"/>
        <s v="73440598"/>
        <s v="49434583"/>
        <s v="44671167"/>
        <s v="32345872"/>
        <s v="79638753"/>
        <s v="13974916"/>
        <s v="138659"/>
        <s v="81174775"/>
        <s v="4887591"/>
        <s v="72830796"/>
        <s v="33930411"/>
        <s v="65652961"/>
        <s v="72623053"/>
        <s v="77154927"/>
        <s v="40384436"/>
        <s v="17187527"/>
        <s v="48103350"/>
        <s v="82553432"/>
        <s v="80644644"/>
        <s v="10092385"/>
        <s v="8299420"/>
        <s v="29707942"/>
        <s v="83513329"/>
        <s v="24874748"/>
        <s v="35327721"/>
        <s v="83664359"/>
        <s v="47266766"/>
        <s v="39049803"/>
        <s v="79069922"/>
        <s v="942102"/>
        <s v="45046162"/>
        <s v="65332979"/>
        <s v="65782910"/>
        <s v="47912489"/>
        <s v="38569517"/>
        <s v="57012247"/>
        <s v="42325581"/>
        <s v="33908380"/>
        <s v="75267735"/>
        <s v="78643185"/>
        <s v="76945113"/>
        <s v="23782075"/>
        <s v="28720324"/>
        <s v="39055743"/>
        <s v="59551461"/>
        <s v="17959568"/>
        <s v="11028956"/>
        <s v="30181465"/>
        <s v="64570341"/>
        <s v="56501100"/>
        <s v="59204947"/>
        <s v="93858335"/>
        <s v="29762149"/>
        <s v="65546536"/>
        <s v="6251239"/>
        <s v="82749071"/>
        <s v="78286191"/>
        <s v="93768580"/>
        <s v="30049628"/>
        <s v="33969824"/>
        <s v="20319038"/>
        <s v="91103321"/>
        <s v="35686156"/>
        <s v="91561855"/>
        <s v="1044027"/>
        <s v="15542762"/>
        <s v="33116273"/>
        <s v="98788200"/>
        <s v="10723593"/>
        <s v="1884241"/>
        <s v="56160482"/>
        <s v="46957405"/>
      </sharedItems>
    </cacheField>
    <cacheField name="category" numFmtId="49">
      <sharedItems>
        <s v="Books"/>
        <s v="Toys"/>
        <s v="Home"/>
        <s v="Clothing"/>
        <s v="Electronics"/>
      </sharedItems>
    </cacheField>
    <cacheField name="price" numFmtId="4">
      <sharedItems containsSemiMixedTypes="0" containsString="0" containsNumber="1" containsInteger="1">
        <n v="1498.0"/>
        <n v="6723.0"/>
        <n v="6570.0"/>
        <n v="6625.0"/>
        <n v="1570.0"/>
        <n v="8470.0"/>
        <n v="3109.0"/>
        <n v="8380.0"/>
        <n v="2665.0"/>
        <n v="7777.0"/>
        <n v="1049.0"/>
        <n v="4801.0"/>
        <n v="3726.0"/>
        <n v="7659.0"/>
        <n v="9819.0"/>
        <n v="2537.0"/>
        <n v="759.0"/>
        <n v="7686.0"/>
        <n v="6111.0"/>
        <n v="1184.0"/>
        <n v="3818.0"/>
        <n v="3287.0"/>
        <n v="7639.0"/>
        <n v="6848.0"/>
        <n v="3445.0"/>
        <n v="8324.0"/>
        <n v="9467.0"/>
        <n v="4105.0"/>
        <n v="9439.0"/>
        <n v="6686.0"/>
        <n v="9042.0"/>
        <n v="6309.0"/>
        <n v="423.0"/>
        <n v="9856.0"/>
        <n v="8745.0"/>
        <n v="5504.0"/>
        <n v="4734.0"/>
        <n v="4995.0"/>
        <n v="1748.0"/>
        <n v="8542.0"/>
        <n v="2568.0"/>
        <n v="2899.0"/>
        <n v="5029.0"/>
        <n v="3487.0"/>
        <n v="8312.0"/>
        <n v="8345.0"/>
        <n v="5180.0"/>
        <n v="2237.0"/>
        <n v="4016.0"/>
        <n v="7737.0"/>
        <n v="7803.0"/>
        <n v="7771.0"/>
        <n v="5378.0"/>
        <n v="3604.0"/>
        <n v="6017.0"/>
        <n v="2607.0"/>
        <n v="2340.0"/>
        <n v="9395.0"/>
        <n v="9883.0"/>
        <n v="8924.0"/>
        <n v="9370.0"/>
        <n v="8551.0"/>
        <n v="9022.0"/>
        <n v="7159.0"/>
        <n v="8148.0"/>
        <n v="7926.0"/>
        <n v="1104.0"/>
        <n v="3872.0"/>
        <n v="4909.0"/>
        <n v="3706.0"/>
        <n v="8398.0"/>
        <n v="9420.0"/>
        <n v="6912.0"/>
        <n v="2289.0"/>
        <n v="5202.0"/>
        <n v="4302.0"/>
        <n v="1745.0"/>
        <n v="8507.0"/>
        <n v="2505.0"/>
        <n v="4592.0"/>
        <n v="7804.0"/>
        <n v="3640.0"/>
        <n v="6620.0"/>
        <n v="2347.0"/>
        <n v="5933.0"/>
        <n v="4551.0"/>
        <n v="296.0"/>
        <n v="7465.0"/>
        <n v="4268.0"/>
        <n v="1725.0"/>
        <n v="2716.0"/>
        <n v="4343.0"/>
        <n v="6463.0"/>
        <n v="1303.0"/>
        <n v="7695.0"/>
        <n v="8641.0"/>
        <n v="8587.0"/>
        <n v="4538.0"/>
        <n v="6450.0"/>
        <n v="6838.0"/>
        <n v="9271.0"/>
        <n v="8333.0"/>
        <n v="376.0"/>
        <n v="2921.0"/>
        <n v="3250.0"/>
        <n v="5768.0"/>
        <n v="6009.0"/>
        <n v="4417.0"/>
        <n v="597.0"/>
        <n v="9068.0"/>
        <n v="5752.0"/>
        <n v="5107.0"/>
        <n v="6314.0"/>
        <n v="3432.0"/>
        <n v="8826.0"/>
        <n v="5317.0"/>
        <n v="2308.0"/>
        <n v="1505.0"/>
        <n v="8233.0"/>
        <n v="824.0"/>
        <n v="9873.0"/>
        <n v="8064.0"/>
        <n v="3754.0"/>
        <n v="3674.0"/>
        <n v="9128.0"/>
        <n v="5959.0"/>
        <n v="6350.0"/>
        <n v="9448.0"/>
        <n v="7310.0"/>
        <n v="1001.0"/>
        <n v="3388.0"/>
        <n v="7762.0"/>
        <n v="4961.0"/>
        <n v="1662.0"/>
        <n v="9822.0"/>
        <n v="4399.0"/>
        <n v="1690.0"/>
        <n v="3217.0"/>
        <n v="5240.0"/>
        <n v="8890.0"/>
        <n v="1246.0"/>
        <n v="3215.0"/>
        <n v="4097.0"/>
        <n v="1150.0"/>
        <n v="8624.0"/>
        <n v="3020.0"/>
        <n v="9074.0"/>
        <n v="5144.0"/>
        <n v="3322.0"/>
        <n v="6738.0"/>
        <n v="1139.0"/>
        <n v="3896.0"/>
        <n v="254.0"/>
        <n v="6715.0"/>
        <n v="3144.0"/>
        <n v="9047.0"/>
        <n v="765.0"/>
        <n v="1923.0"/>
        <n v="1616.0"/>
        <n v="7748.0"/>
        <n v="6037.0"/>
        <n v="4975.0"/>
        <n v="2357.0"/>
        <n v="322.0"/>
        <n v="1172.0"/>
        <n v="1921.0"/>
        <n v="2075.0"/>
        <n v="8959.0"/>
        <n v="6046.0"/>
        <n v="5482.0"/>
        <n v="6669.0"/>
        <n v="4552.0"/>
        <n v="1007.0"/>
        <n v="5963.0"/>
        <n v="5525.0"/>
        <n v="7815.0"/>
        <n v="5205.0"/>
        <n v="8503.0"/>
        <n v="7166.0"/>
        <n v="7201.0"/>
        <n v="6760.0"/>
        <n v="9487.0"/>
        <n v="6137.0"/>
        <n v="1142.0"/>
        <n v="8087.0"/>
        <n v="1934.0"/>
        <n v="7187.0"/>
        <n v="4964.0"/>
        <n v="1379.0"/>
        <n v="245.0"/>
        <n v="3331.0"/>
        <n v="1363.0"/>
        <n v="5463.0"/>
        <n v="5925.0"/>
        <n v="3359.0"/>
        <n v="9131.0"/>
        <n v="8801.0"/>
        <n v="9187.0"/>
        <n v="8928.0"/>
        <n v="4078.0"/>
        <n v="8418.0"/>
        <n v="2402.0"/>
        <n v="5862.0"/>
        <n v="8123.0"/>
        <n v="5807.0"/>
        <n v="3279.0"/>
        <n v="9742.0"/>
        <n v="1650.0"/>
        <n v="2404.0"/>
        <n v="8865.0"/>
        <n v="8167.0"/>
        <n v="7827.0"/>
        <n v="3663.0"/>
        <n v="4177.0"/>
        <n v="6389.0"/>
        <n v="6821.0"/>
        <n v="6997.0"/>
        <n v="1811.0"/>
        <n v="7857.0"/>
        <n v="5345.0"/>
        <n v="9484.0"/>
        <n v="8104.0"/>
        <n v="6127.0"/>
        <n v="739.0"/>
        <n v="4401.0"/>
        <n v="9986.0"/>
        <n v="4560.0"/>
        <n v="4541.0"/>
        <n v="2456.0"/>
        <n v="9916.0"/>
        <n v="9220.0"/>
        <n v="6628.0"/>
        <n v="8591.0"/>
        <n v="9579.0"/>
        <n v="4835.0"/>
        <n v="980.0"/>
        <n v="6947.0"/>
        <n v="2460.0"/>
        <n v="1795.0"/>
        <n v="8951.0"/>
        <n v="300.0"/>
        <n v="9090.0"/>
        <n v="4023.0"/>
        <n v="1133.0"/>
        <n v="8530.0"/>
        <n v="9826.0"/>
        <n v="835.0"/>
        <n v="8932.0"/>
        <n v="9015.0"/>
        <n v="1389.0"/>
        <n v="1676.0"/>
        <n v="298.0"/>
        <n v="9701.0"/>
        <n v="4156.0"/>
        <n v="8998.0"/>
        <n v="3528.0"/>
        <n v="8269.0"/>
        <n v="6842.0"/>
        <n v="4330.0"/>
        <n v="9838.0"/>
        <n v="6069.0"/>
        <n v="9662.0"/>
        <n v="4907.0"/>
        <n v="1244.0"/>
        <n v="1761.0"/>
        <n v="8562.0"/>
        <n v="6922.0"/>
        <n v="6585.0"/>
        <n v="3180.0"/>
        <n v="4102.0"/>
        <n v="2033.0"/>
        <n v="710.0"/>
        <n v="7253.0"/>
        <n v="4730.0"/>
        <n v="5384.0"/>
        <n v="135.0"/>
        <n v="6096.0"/>
        <n v="7467.0"/>
        <n v="1394.0"/>
        <n v="5769.0"/>
        <n v="9317.0"/>
        <n v="5020.0"/>
        <n v="1384.0"/>
        <n v="6663.0"/>
        <n v="6183.0"/>
        <n v="2510.0"/>
        <n v="5294.0"/>
        <n v="4369.0"/>
        <n v="8192.0"/>
        <n v="5796.0"/>
        <n v="5366.0"/>
        <n v="167.0"/>
        <n v="6923.0"/>
        <n v="1470.0"/>
        <n v="4806.0"/>
        <n v="3623.0"/>
        <n v="5899.0"/>
        <n v="6957.0"/>
        <n v="554.0"/>
        <n v="5522.0"/>
        <n v="4845.0"/>
        <n v="2150.0"/>
        <n v="6220.0"/>
        <n v="4682.0"/>
        <n v="5975.0"/>
        <n v="7809.0"/>
        <n v="5095.0"/>
        <n v="4076.0"/>
        <n v="4895.0"/>
        <n v="3553.0"/>
        <n v="3727.0"/>
        <n v="9198.0"/>
        <n v="7098.0"/>
        <n v="533.0"/>
        <n v="8109.0"/>
        <n v="6589.0"/>
        <n v="9526.0"/>
        <n v="2171.0"/>
        <n v="1079.0"/>
        <n v="8671.0"/>
        <n v="214.0"/>
        <n v="1992.0"/>
        <n v="2101.0"/>
        <n v="9126.0"/>
        <n v="2202.0"/>
        <n v="1019.0"/>
        <n v="9802.0"/>
        <n v="9157.0"/>
        <n v="973.0"/>
        <n v="9166.0"/>
        <n v="1027.0"/>
        <n v="4080.0"/>
        <n v="7727.0"/>
        <n v="6801.0"/>
        <n v="3305.0"/>
        <n v="8096.0"/>
        <n v="3693.0"/>
        <n v="2884.0"/>
        <n v="4890.0"/>
        <n v="3779.0"/>
        <n v="8248.0"/>
        <n v="6164.0"/>
        <n v="406.0"/>
        <n v="2170.0"/>
        <n v="8513.0"/>
        <n v="2490.0"/>
        <n v="7027.0"/>
        <n v="9586.0"/>
        <n v="6725.0"/>
        <n v="6748.0"/>
        <n v="4639.0"/>
        <n v="7976.0"/>
        <n v="7599.0"/>
        <n v="7780.0"/>
        <n v="9155.0"/>
        <n v="2179.0"/>
        <n v="6937.0"/>
        <n v="5707.0"/>
        <n v="3731.0"/>
        <n v="9216.0"/>
        <n v="334.0"/>
        <n v="9224.0"/>
        <n v="721.0"/>
        <n v="7652.0"/>
        <n v="2157.0"/>
        <n v="2017.0"/>
        <n v="3362.0"/>
        <n v="2725.0"/>
        <n v="7868.0"/>
        <n v="316.0"/>
        <n v="1173.0"/>
        <n v="9590.0"/>
        <n v="1073.0"/>
        <n v="8693.0"/>
        <n v="8134.0"/>
        <n v="3436.0"/>
        <n v="5258.0"/>
        <n v="8439.0"/>
        <n v="3946.0"/>
        <n v="3412.0"/>
        <n v="1509.0"/>
        <n v="8976.0"/>
        <n v="4315.0"/>
        <n v="579.0"/>
        <n v="6333.0"/>
        <n v="4528.0"/>
        <n v="2209.0"/>
        <n v="3845.0"/>
        <n v="803.0"/>
        <n v="2767.0"/>
        <n v="7549.0"/>
        <n v="6080.0"/>
        <n v="7793.0"/>
        <n v="665.0"/>
        <n v="4084.0"/>
        <n v="8941.0"/>
        <n v="248.0"/>
        <n v="1756.0"/>
        <n v="9548.0"/>
        <n v="590.0"/>
        <n v="1093.0"/>
        <n v="2586.0"/>
        <n v="829.0"/>
        <n v="1655.0"/>
        <n v="3268.0"/>
        <n v="2068.0"/>
        <n v="9885.0"/>
        <n v="8806.0"/>
        <n v="827.0"/>
        <n v="7434.0"/>
        <n v="5931.0"/>
        <n v="9750.0"/>
        <n v="9669.0"/>
        <n v="7513.0"/>
        <n v="2983.0"/>
        <n v="9655.0"/>
        <n v="768.0"/>
        <n v="7277.0"/>
        <n v="959.0"/>
        <n v="4170.0"/>
        <n v="5370.0"/>
        <n v="7048.0"/>
        <n v="8422.0"/>
        <n v="700.0"/>
        <n v="5469.0"/>
        <n v="692.0"/>
        <n v="902.0"/>
        <n v="4878.0"/>
        <n v="991.0"/>
        <n v="1441.0"/>
        <n v="9426.0"/>
        <n v="9183.0"/>
        <n v="3568.0"/>
        <n v="9508.0"/>
        <n v="9690.0"/>
        <n v="277.0"/>
        <n v="3307.0"/>
        <n v="497.0"/>
        <n v="7192.0"/>
        <n v="8787.0"/>
        <n v="5031.0"/>
        <n v="3630.0"/>
        <n v="2525.0"/>
        <n v="3110.0"/>
        <n v="4427.0"/>
        <n v="5813.0"/>
        <n v="9563.0"/>
        <n v="4178.0"/>
        <n v="2926.0"/>
        <n v="5362.0"/>
        <n v="3435.0"/>
        <n v="9030.0"/>
        <n v="3785.0"/>
        <n v="4488.0"/>
        <n v="6352.0"/>
        <n v="491.0"/>
        <n v="2912.0"/>
        <n v="7132.0"/>
        <n v="6963.0"/>
        <n v="694.0"/>
        <n v="9956.0"/>
        <n v="3739.0"/>
        <n v="7238.0"/>
        <n v="1868.0"/>
        <n v="9406.0"/>
        <n v="328.0"/>
        <n v="8723.0"/>
        <n v="4526.0"/>
        <n v="1336.0"/>
        <n v="674.0"/>
        <n v="7920.0"/>
        <n v="7985.0"/>
        <n v="830.0"/>
        <n v="7273.0"/>
        <n v="2445.0"/>
        <n v="4903.0"/>
        <n v="1059.0"/>
        <n v="9085.0"/>
        <n v="5724.0"/>
        <n v="8670.0"/>
        <n v="163.0"/>
        <n v="6770.0"/>
        <n v="678.0"/>
        <n v="6013.0"/>
        <n v="6976.0"/>
        <n v="4049.0"/>
        <n v="6142.0"/>
        <n v="9509.0"/>
        <n v="9381.0"/>
        <n v="6828.0"/>
        <n v="3561.0"/>
        <n v="6456.0"/>
        <n v="5645.0"/>
        <n v="5155.0"/>
        <n v="9638.0"/>
        <n v="6042.0"/>
        <n v="5491.0"/>
        <n v="7856.0"/>
        <n v="2210.0"/>
        <n v="4123.0"/>
        <n v="8078.0"/>
        <n v="9852.0"/>
        <n v="1510.0"/>
        <n v="6225.0"/>
        <n v="1736.0"/>
        <n v="4489.0"/>
        <n v="7200.0"/>
        <n v="1084.0"/>
        <n v="3666.0"/>
        <n v="2055.0"/>
        <n v="1231.0"/>
        <n v="8156.0"/>
        <n v="259.0"/>
        <n v="2459.0"/>
        <n v="2376.0"/>
        <n v="552.0"/>
        <n v="8869.0"/>
        <n v="466.0"/>
        <n v="5539.0"/>
        <n v="1128.0"/>
        <n v="5918.0"/>
        <n v="6430.0"/>
        <n v="187.0"/>
        <n v="5676.0"/>
        <n v="2789.0"/>
        <n v="1696.0"/>
        <n v="5132.0"/>
        <n v="7994.0"/>
        <n v="3230.0"/>
        <n v="3503.0"/>
        <n v="2673.0"/>
        <n v="2018.0"/>
        <n v="345.0"/>
        <n v="4368.0"/>
        <n v="8036.0"/>
        <n v="7272.0"/>
        <n v="5993.0"/>
        <n v="183.0"/>
        <n v="564.0"/>
        <n v="3200.0"/>
        <n v="4485.0"/>
        <n v="2126.0"/>
        <n v="1012.0"/>
        <n v="1032.0"/>
        <n v="8098.0"/>
        <n v="8133.0"/>
        <n v="9269.0"/>
        <n v="1924.0"/>
        <n v="1567.0"/>
        <n v="7112.0"/>
        <n v="1300.0"/>
        <n v="3325.0"/>
        <n v="6342.0"/>
        <n v="3384.0"/>
        <n v="4991.0"/>
        <n v="606.0"/>
        <n v="7845.0"/>
        <n v="4279.0"/>
        <n v="7670.0"/>
        <n v="6694.0"/>
        <n v="4645.0"/>
        <n v="5542.0"/>
        <n v="5710.0"/>
        <n v="4273.0"/>
        <n v="4671.0"/>
        <n v="5451.0"/>
        <n v="8721.0"/>
        <n v="885.0"/>
        <n v="2093.0"/>
        <n v="4361.0"/>
        <n v="2233.0"/>
        <n v="681.0"/>
        <n v="9567.0"/>
        <n v="6300.0"/>
        <n v="4299.0"/>
        <n v="2118.0"/>
        <n v="8030.0"/>
        <n v="7234.0"/>
      </sharedItems>
    </cacheField>
    <cacheField name="quantity" numFmtId="1">
      <sharedItems containsSemiMixedTypes="0" containsString="0" containsNumber="1" containsInteger="1">
        <n v="4.0"/>
        <n v="3.0"/>
        <n v="1.0"/>
        <n v="2.0"/>
      </sharedItems>
    </cacheField>
    <cacheField name="discount" numFmtId="9">
      <sharedItems containsSemiMixedTypes="0" containsString="0" containsNumber="1">
        <n v="0.16"/>
        <n v="0.07"/>
        <n v="0.08"/>
        <n v="0.11"/>
        <n v="0.09"/>
        <n v="0.12"/>
        <n v="0.06"/>
        <n v="0.14"/>
        <n v="0.18"/>
        <n v="0.1"/>
        <n v="0.05"/>
        <n v="0.15"/>
        <n v="0.17"/>
        <n v="0.13"/>
        <n v="0.2"/>
        <n v="0.19"/>
      </sharedItems>
    </cacheField>
    <cacheField name="payment_method" numFmtId="49">
      <sharedItems>
        <s v="Credit Card"/>
        <s v="COD"/>
        <s v="PayPal"/>
        <s v="Bank Transfer"/>
      </sharedItems>
    </cacheField>
    <cacheField name="delivery_status" numFmtId="49">
      <sharedItems>
        <s v="Cancelled"/>
        <s v="Delivered"/>
        <s v="Pending"/>
        <s v="Returned"/>
      </sharedItems>
    </cacheField>
    <cacheField name="country" numFmtId="49">
      <sharedItems>
        <s v="Germany"/>
        <s v="UK"/>
        <s v="USA"/>
        <s v="India"/>
        <s v="France"/>
      </sharedItems>
    </cacheField>
    <cacheField name="device" numFmtId="49">
      <sharedItems>
        <s v="Mobile"/>
        <s v="Tablet"/>
        <s v="Desktop"/>
      </sharedItems>
    </cacheField>
    <cacheField name="total" numFmtId="4">
      <sharedItems containsSemiMixedTypes="0" containsString="0" containsNumber="1">
        <n v="5033.28"/>
        <n v="18757.17"/>
        <n v="6110.1"/>
        <n v="18285.0"/>
        <n v="2794.6"/>
        <n v="15415.4"/>
        <n v="5471.84"/>
        <n v="14078.4"/>
        <n v="7515.3"/>
        <n v="7154.84"/>
        <n v="1972.12"/>
        <n v="12386.58"/>
        <n v="13562.64"/>
        <n v="12560.76"/>
        <n v="34955.64"/>
        <n v="4566.6"/>
        <n v="1381.38"/>
        <n v="21443.94"/>
        <n v="5683.23"/>
        <n v="3338.88"/>
        <n v="10652.22"/>
        <n v="12096.16"/>
        <n v="20625.3"/>
        <n v="19105.92"/>
        <n v="9818.25"/>
        <n v="7408.36"/>
        <n v="35595.92"/>
        <n v="6978.5"/>
        <n v="16612.64"/>
        <n v="23534.72"/>
        <n v="33274.56"/>
        <n v="17791.38"/>
        <n v="1505.88"/>
        <n v="26315.52"/>
        <n v="24136.2"/>
        <n v="10237.44"/>
        <n v="17610.48"/>
        <n v="8191.8"/>
        <n v="6222.88"/>
        <n v="15888.12"/>
        <n v="7010.64"/>
        <n v="7479.42"/>
        <n v="9052.2"/>
        <n v="9937.95"/>
        <n v="7896.4"/>
        <n v="13685.8"/>
        <n v="8598.8"/>
        <n v="8053.2"/>
        <n v="10240.8"/>
        <n v="6731.19"/>
        <n v="27466.56"/>
        <n v="13987.8"/>
        <n v="4947.76"/>
        <n v="3099.44"/>
        <n v="16426.41"/>
        <n v="4327.62"/>
        <n v="8517.6"/>
        <n v="7687.8"/>
        <n v="15971.5"/>
        <n v="28166.55"/>
        <n v="16063.2"/>
        <n v="23893.5"/>
        <n v="15049.76"/>
        <n v="31035.68"/>
        <n v="13172.56"/>
        <n v="29658.72"/>
        <n v="19735.74"/>
        <n v="971.52"/>
        <n v="3407.36"/>
        <n v="18457.84"/>
        <n v="6819.04"/>
        <n v="14612.52"/>
        <n v="17709.6"/>
        <n v="5529.6"/>
        <n v="6111.63"/>
        <n v="12796.92"/>
        <n v="10711.98"/>
        <n v="1448.35"/>
        <n v="22713.69"/>
        <n v="8116.2"/>
        <n v="15429.12"/>
        <n v="6477.32"/>
        <n v="6916.0"/>
        <n v="18867.0"/>
        <n v="6125.67"/>
        <n v="21121.48"/>
        <n v="3822.84"/>
        <n v="509.12"/>
        <n v="18811.8"/>
        <n v="3713.16"/>
        <n v="1604.25"/>
        <n v="7251.72"/>
        <n v="7730.54"/>
        <n v="16868.43"/>
        <n v="1185.73"/>
        <n v="28317.6"/>
        <n v="32835.8"/>
        <n v="7728.3"/>
        <n v="4129.58"/>
        <n v="10320.0"/>
        <n v="5470.4"/>
        <n v="17244.06"/>
        <n v="7583.03"/>
        <n v="706.88"/>
        <n v="7098.03"/>
        <n v="11180.0"/>
        <n v="10613.12"/>
        <n v="19949.88"/>
        <n v="10998.33"/>
        <n v="1134.3"/>
        <n v="23939.52"/>
        <n v="10928.8"/>
        <n v="17159.52"/>
        <n v="16290.12"/>
        <n v="2848.56"/>
        <n v="25154.1"/>
        <n v="8719.88"/>
        <n v="7385.6"/>
        <n v="1219.05"/>
        <n v="7245.04"/>
        <n v="2200.08"/>
        <n v="23695.2"/>
        <n v="7499.52"/>
        <n v="9234.84"/>
        <n v="12344.64"/>
        <n v="7667.52"/>
        <n v="4945.97"/>
        <n v="17907.0"/>
        <n v="26076.48"/>
        <n v="13158.0"/>
        <n v="2582.58"/>
        <n v="3150.84"/>
        <n v="6752.94"/>
        <n v="8235.26"/>
        <n v="2758.92"/>
        <n v="8446.92"/>
        <n v="7918.2"/>
        <n v="1385.8"/>
        <n v="7720.8"/>
        <n v="4716.0"/>
        <n v="15290.8"/>
        <n v="3551.1"/>
        <n v="3054.25"/>
        <n v="3564.39"/>
        <n v="1932.0"/>
        <n v="14315.84"/>
        <n v="11355.2"/>
        <n v="8075.86"/>
        <n v="12654.24"/>
        <n v="5780.28"/>
        <n v="18192.6"/>
        <n v="3690.36"/>
        <n v="7168.64"/>
        <n v="609.6"/>
        <n v="5506.3"/>
        <n v="8771.76"/>
        <n v="7870.89"/>
        <n v="2042.55"/>
        <n v="1826.85"/>
        <n v="1405.92"/>
        <n v="20919.6"/>
        <n v="10866.6"/>
        <n v="4527.25"/>
        <n v="7730.96"/>
        <n v="859.74"/>
        <n v="3937.92"/>
        <n v="1632.85"/>
        <n v="1909.0"/>
        <n v="25264.38"/>
        <n v="21523.76"/>
        <n v="4550.06"/>
        <n v="23474.88"/>
        <n v="7283.2"/>
        <n v="2688.69"/>
        <n v="5068.55"/>
        <n v="14917.5"/>
        <n v="28446.6"/>
        <n v="13741.2"/>
        <n v="29930.56"/>
        <n v="25224.32"/>
        <n v="11665.62"/>
        <n v="18252.0"/>
        <n v="31876.32"/>
        <n v="17490.45"/>
        <n v="3014.88"/>
        <n v="19894.02"/>
        <n v="5047.74"/>
        <n v="1613.64"/>
        <n v="22998.4"/>
        <n v="12360.36"/>
        <n v="1130.78"/>
        <n v="198.45"/>
        <n v="5662.7"/>
        <n v="2180.8"/>
        <n v="14258.43"/>
        <n v="10783.5"/>
        <n v="2855.15"/>
        <n v="31775.88"/>
        <n v="24290.76"/>
        <n v="17271.56"/>
        <n v="29283.84"/>
        <n v="3792.54"/>
        <n v="13468.8"/>
        <n v="6773.64"/>
        <n v="10317.12"/>
        <n v="20957.34"/>
        <n v="14111.01"/>
        <n v="5967.78"/>
        <n v="26011.14"/>
        <n v="4306.5"/>
        <n v="10562.1"/>
        <n v="7981.28"/>
        <n v="21276.0"/>
        <n v="13067.2"/>
        <n v="19958.85"/>
        <n v="9999.99"/>
        <n v="10776.66"/>
        <n v="23255.96"/>
        <n v="19030.59"/>
        <n v="6647.15"/>
        <n v="3114.92"/>
        <n v="14299.74"/>
        <n v="19883.4"/>
        <n v="7871.72"/>
        <n v="14911.36"/>
        <n v="4901.6"/>
        <n v="1226.74"/>
        <n v="14259.24"/>
        <n v="17175.92"/>
        <n v="16051.2"/>
        <n v="16892.52"/>
        <n v="6557.52"/>
        <n v="8626.92"/>
        <n v="30610.4"/>
        <n v="5501.24"/>
        <n v="13745.6"/>
        <n v="8525.31"/>
        <n v="12039.15"/>
        <n v="1744.4"/>
        <n v="11948.84"/>
        <n v="6346.8"/>
        <n v="1705.25"/>
        <n v="7339.82"/>
        <n v="552.0"/>
        <n v="14544.0"/>
        <n v="9896.58"/>
        <n v="1053.69"/>
        <n v="7079.9"/>
        <n v="8057.32"/>
        <n v="2154.3"/>
        <n v="24116.4"/>
        <n v="16002.0"/>
        <n v="29569.2"/>
        <n v="5222.64"/>
        <n v="2882.72"/>
        <n v="524.48"/>
        <n v="36087.72"/>
        <n v="7730.16"/>
        <n v="32032.88"/>
        <n v="3351.6"/>
        <n v="7772.86"/>
        <n v="984.48"/>
        <n v="6363.06"/>
        <n v="10781.7"/>
        <n v="27743.16"/>
        <n v="5644.17"/>
        <n v="16811.88"/>
        <n v="4661.65"/>
        <n v="2363.6"/>
        <n v="4437.72"/>
        <n v="28425.84"/>
        <n v="18689.4"/>
        <n v="21072.0"/>
        <n v="5469.6"/>
        <n v="3773.84"/>
        <n v="6993.52"/>
        <n v="2612.8"/>
        <n v="6527.7"/>
        <n v="7662.6"/>
        <n v="4791.76"/>
        <n v="113.4"/>
        <n v="17373.6"/>
        <n v="13589.94"/>
        <n v="5129.92"/>
        <n v="5480.55"/>
        <n v="23199.33"/>
        <n v="18674.4"/>
        <n v="1162.56"/>
        <n v="5397.03"/>
        <n v="11376.72"/>
        <n v="2259.0"/>
        <n v="18634.88"/>
        <n v="16602.2"/>
        <n v="20152.32"/>
        <n v="5274.36"/>
        <n v="18244.4"/>
        <n v="307.28"/>
        <n v="25476.64"/>
        <n v="1264.2"/>
        <n v="3940.92"/>
        <n v="5796.8"/>
        <n v="4837.18"/>
        <n v="6261.3"/>
        <n v="963.96"/>
        <n v="19216.56"/>
        <n v="4457.4"/>
        <n v="5160.0"/>
        <n v="5411.4"/>
        <n v="4166.98"/>
        <n v="10635.5"/>
        <n v="14524.74"/>
        <n v="8152.0"/>
        <n v="7581.36"/>
        <n v="3964.95"/>
        <n v="9593.1"/>
        <n v="12522.72"/>
        <n v="25662.42"/>
        <n v="19803.42"/>
        <n v="959.4"/>
        <n v="6730.47"/>
        <n v="5864.21"/>
        <n v="8859.18"/>
        <n v="7294.56"/>
        <n v="3042.78"/>
        <n v="29828.24"/>
        <n v="744.72"/>
        <n v="4900.32"/>
        <n v="7731.68"/>
        <n v="17156.88"/>
        <n v="6011.46"/>
        <n v="2812.44"/>
        <n v="27641.64"/>
        <n v="21976.8"/>
        <n v="885.43"/>
        <n v="32997.6"/>
        <n v="3327.48"/>
        <n v="15340.8"/>
        <n v="19008.42"/>
        <n v="22579.32"/>
        <n v="12162.4"/>
        <n v="22587.84"/>
        <n v="13294.8"/>
        <n v="7873.32"/>
        <n v="12909.6"/>
        <n v="9976.56"/>
        <n v="20537.52"/>
        <n v="5018.16"/>
        <n v="20217.92"/>
        <n v="1380.4"/>
        <n v="3949.4"/>
        <n v="30646.8"/>
        <n v="2166.3"/>
        <n v="12367.52"/>
        <n v="7764.66"/>
        <n v="10760.0"/>
        <n v="12011.44"/>
        <n v="7607.96"/>
        <n v="28075.52"/>
        <n v="26140.56"/>
        <n v="6924.2"/>
        <n v="8605.7"/>
        <n v="3965.78"/>
        <n v="13180.3"/>
        <n v="4622.67"/>
        <n v="3059.42"/>
        <n v="17326.08"/>
        <n v="581.16"/>
        <n v="16049.76"/>
        <n v="1312.22"/>
        <n v="6198.12"/>
        <n v="5565.06"/>
        <n v="1653.94"/>
        <n v="2723.22"/>
        <n v="7602.75"/>
        <n v="20299.44"/>
        <n v="1011.2"/>
        <n v="3847.44"/>
        <n v="9014.6"/>
        <n v="965.7"/>
        <n v="17212.62"/>
        <n v="23731.89"/>
        <n v="29933.12"/>
        <n v="11957.28"/>
        <n v="12776.94"/>
        <n v="7257.54"/>
        <n v="6313.6"/>
        <n v="8700.6"/>
        <n v="2625.66"/>
        <n v="15259.2"/>
        <n v="3710.9"/>
        <n v="463.2"/>
        <n v="12032.7"/>
        <n v="17025.28"/>
        <n v="1988.1"/>
        <n v="14149.6"/>
        <n v="2119.92"/>
        <n v="7138.86"/>
        <n v="12531.34"/>
        <n v="10822.4"/>
        <n v="21508.68"/>
        <n v="4860.36"/>
        <n v="1143.8"/>
        <n v="10659.24"/>
        <n v="7152.8"/>
        <n v="203.36"/>
        <n v="35023.28"/>
        <n v="6321.6"/>
        <n v="16995.44"/>
        <n v="7716.85"/>
        <n v="1026.6"/>
        <n v="4109.68"/>
        <n v="2379.12"/>
        <n v="688.07"/>
        <n v="6090.4"/>
        <n v="5620.96"/>
        <n v="6783.04"/>
        <n v="37167.6"/>
        <n v="22983.66"/>
        <n v="1455.52"/>
        <n v="13827.24"/>
        <n v="16725.42"/>
        <n v="8190.0"/>
        <n v="32874.6"/>
        <n v="25844.72"/>
        <n v="5309.74"/>
        <n v="16606.6"/>
        <n v="1320.96"/>
        <n v="6840.38"/>
        <n v="911.05"/>
        <n v="15679.2"/>
        <n v="14176.8"/>
        <n v="11981.6"/>
        <n v="21476.1"/>
        <n v="2464.0"/>
        <n v="20782.2"/>
        <n v="1785.36"/>
        <n v="1443.2"/>
        <n v="17560.8"/>
        <n v="3329.76"/>
        <n v="2449.7"/>
        <n v="33933.6"/>
        <n v="31222.2"/>
        <n v="10061.76"/>
        <n v="7701.48"/>
        <n v="35271.6"/>
        <n v="1052.6"/>
        <n v="8135.22"/>
        <n v="397.6"/>
        <n v="5753.6"/>
        <n v="21616.02"/>
        <n v="18916.56"/>
        <n v="6751.8"/>
        <n v="6969.0"/>
        <n v="7557.3"/>
        <n v="3851.49"/>
        <n v="14474.37"/>
        <n v="16448.36"/>
        <n v="10779.24"/>
        <n v="8163.54"/>
        <n v="4664.94"/>
        <n v="6389.1"/>
        <n v="14989.8"/>
        <n v="13626.0"/>
        <n v="4218.72"/>
        <n v="11687.68"/>
        <n v="854.34"/>
        <n v="7250.88"/>
        <n v="24534.08"/>
        <n v="6614.85"/>
        <n v="1276.96"/>
        <n v="35045.12"/>
        <n v="3552.05"/>
        <n v="18891.18"/>
        <n v="3325.04"/>
        <n v="34614.08"/>
        <n v="301.76"/>
        <n v="16573.7"/>
        <n v="3756.58"/>
        <n v="3567.12"/>
        <n v="1920.9"/>
        <n v="11437.4"/>
        <n v="26928.0"/>
        <n v="15011.8"/>
        <n v="2689.2"/>
        <n v="12655.02"/>
        <n v="2053.8"/>
        <n v="8335.1"/>
        <n v="2636.91"/>
        <n v="9063.0"/>
        <n v="33069.4"/>
        <n v="13737.6"/>
        <n v="14045.4"/>
        <n v="141.81"/>
        <n v="17669.7"/>
        <n v="1627.2"/>
        <n v="11184.18"/>
        <n v="12696.32"/>
        <n v="7369.18"/>
        <n v="11669.8"/>
        <n v="8177.74"/>
        <n v="17823.9"/>
        <n v="22395.84"/>
        <n v="3026.85"/>
        <n v="6068.64"/>
        <n v="29733.0"/>
        <n v="15410.85"/>
        <n v="19382.8"/>
        <n v="24287.76"/>
        <n v="10392.24"/>
        <n v="4461.6"/>
        <n v="18010.48"/>
        <n v="7227.52"/>
        <n v="7072.0"/>
        <n v="7668.78"/>
        <n v="14863.52"/>
        <n v="16945.44"/>
        <n v="4892.4"/>
        <n v="610.08"/>
        <n v="15687.0"/>
        <n v="3124.8"/>
        <n v="4129.88"/>
        <n v="11664.0"/>
        <n v="2634.12"/>
        <n v="13637.52"/>
        <n v="1890.6"/>
        <n v="4185.4"/>
        <n v="21531.84"/>
        <n v="849.52"/>
        <n v="6417.99"/>
        <n v="6486.48"/>
        <n v="1473.84"/>
        <n v="14190.4"/>
        <n v="1314.12"/>
        <n v="9748.64"/>
        <n v="2007.84"/>
        <n v="21541.52"/>
        <n v="23405.2"/>
        <n v="14359.26"/>
        <n v="613.36"/>
        <n v="4540.8"/>
        <n v="10151.96"/>
        <n v="4375.68"/>
        <n v="17243.52"/>
        <n v="29737.68"/>
        <n v="8817.9"/>
        <n v="9144.9"/>
        <n v="12190.44"/>
        <n v="4437.18"/>
        <n v="6780.48"/>
        <n v="614.1"/>
        <n v="15200.64"/>
        <n v="4128.96"/>
        <n v="13179.04"/>
        <n v="18325.44"/>
        <n v="22054.24"/>
        <n v="166.53"/>
        <n v="2075.52"/>
        <n v="2784.0"/>
        <n v="2745.6"/>
        <n v="4215.9"/>
        <n v="3911.84"/>
        <n v="3400.32"/>
        <n v="2507.76"/>
        <n v="15224.24"/>
        <n v="15452.7"/>
        <n v="22801.74"/>
        <n v="16023.04"/>
        <n v="5252.52"/>
        <n v="737.04"/>
        <n v="2883.28"/>
        <n v="5902.96"/>
        <n v="4472.0"/>
        <n v="5985.0"/>
        <n v="23845.92"/>
        <n v="5414.4"/>
        <n v="13176.24"/>
        <n v="1945.44"/>
        <n v="1139.28"/>
        <n v="26673.0"/>
        <n v="3765.52"/>
        <n v="6903.0"/>
        <n v="23830.64"/>
        <n v="15049.8"/>
        <n v="21059.6"/>
        <n v="19870.8"/>
        <n v="8033.24"/>
        <n v="11911.05"/>
        <n v="10356.9"/>
        <n v="8110.53"/>
        <n v="823.05"/>
        <n v="3558.1"/>
        <n v="3968.51"/>
        <n v="3796.1"/>
        <n v="619.71"/>
        <n v="25256.88"/>
        <n v="21168.0"/>
        <n v="3568.17"/>
        <n v="3727.68"/>
        <n v="29229.2"/>
        <n v="13310.56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601" sheet="Data-cleaning"/>
  </cacheSource>
  <cacheFields>
    <cacheField name="order_id" numFmtId="49">
      <sharedItems>
        <s v="e3e70682-c209-4cac-a29f-6fbed82c07cd"/>
        <s v="f728b4fa-4248-4e3a-8a5d-2f346baa9455"/>
        <s v="eb1167b3-67a9-4378-bc65-c1e582e2e662"/>
        <s v="f7c1bd87-4da5-4709-9471-3d60c8a70639"/>
        <s v="e443df78-9558-467f-9ba9-1faf7a024204"/>
        <s v="23a7711a-8133-4876-b7eb-dcd9e87a1613"/>
        <s v="1846d424-c17c-4279-a3c6-612f48268673"/>
        <s v="fcbd04c3-4021-4ef7-8ca5-a5a19e4d6e3c"/>
        <s v="b4862b21-fb97-4435-8856-1712e8e5216a"/>
        <s v="259f4329-e6f4-490b-9a16-4106cf6a659e"/>
        <s v="12e0c8b2-bad6-40fb-9948-8dec4f65d4d9"/>
        <s v="5487ce1e-af19-422a-99b8-a714e61a441c"/>
        <s v="5a921187-19c7-4df4-8f4f-f31e78de5857"/>
        <s v="a3f2c9bf-9c63-46b9-90f2-44556f25e2a2"/>
        <s v="8d723104-f773-43c1-b458-a748e9bb17bc"/>
        <s v="85776e9a-dd84-439e-b154-5a137a1d5006"/>
        <s v="eb2083e6-ce16-4dba-8ff1-8e0242af9fc3"/>
        <s v="17e0aa3c-0398-4ca8-aa7e-9d498c778ea6"/>
        <s v="b5d32b16-6619-4cb1-9710-37d1b83e90ec"/>
        <s v="a0116be5-ab0c-4681-88f8-e3d0d3290a4c"/>
        <s v="d3fbf47a-7e5b-4e7f-9ca5-499d004ae545"/>
        <s v="baf3897a-3e70-416a-9548-5822de1b372a"/>
        <s v="101fbccc-ded7-43e8-b421-eaeb534097ca"/>
        <s v="38c1962e-9148-424f-aac1-c14f30e9c5cc"/>
        <s v="247a8333-f7b0-47d2-8da8-056c3d15eef7"/>
        <s v="1759edc3-72ae-4244-8b01-63c1cd9d2b7d"/>
        <s v="e005b860-51ef-4922-be43-c49e149818d1"/>
        <s v="7d41e602-eece-428b-bf7b-118e820865d6"/>
        <s v="4a84eb03-8d1f-49b7-8d2b-9deb1beb3711"/>
        <s v="552f233a-8c25-466a-9ff3-9849b4e1357d"/>
        <s v="3405095c-8a50-46c1-ac18-8efbd080e66e"/>
        <s v="8c1745a7-9a6a-4f92-8ca7-4147f6be1f72"/>
        <s v="1775336d-71ea-4d05-89a3-e80e966e1277"/>
        <s v="5129fb7c-6288-41a5-8c45-782198a6416d"/>
        <s v="2f120554-4a53-48cc-bdfa-bc08935ddd72"/>
        <s v="0870e15c-2fcd-41b5-924b-ace4307bf326"/>
        <s v="42930b33-a81a-4477-bb36-75b89cdeb3e6"/>
        <s v="adc0da7a-16fe-4aa0-91af-923d79fdef7c"/>
        <s v="2648ee38-e074-45eb-a156-63abc1f254b8"/>
        <s v="148b2758-d7ab-4928-89e4-69e6ec62b2c8"/>
        <s v="d450fe4a-ec4f-417b-b306-d1a8e5eeac76"/>
        <s v="d67e55fd-642b-4a42-aef9-c00b8a64c1b9"/>
        <s v="85940927-468f-453d-864a-7a50b48d73f1"/>
        <s v="37176e84-d977-4993-bc49-d76fcfc6e625"/>
        <s v="d3447490-96fd-45d0-adf2-0806e5214606"/>
        <s v="46743741-9466-4472-ab5f-5241f323ca74"/>
        <s v="a425799a-a905-4750-be1e-a9c573581a81"/>
        <s v="fb82860d-eabc-48d0-b341-facdff0ac0f1"/>
        <s v="5306f3f5-1516-4570-9b7c-709acb175a5a"/>
        <s v="964a870c-7c87-4b74-9d87-8f9f9cdf5a86"/>
        <s v="30bcab0e-d857-4102-95d4-4936a1515607"/>
        <s v="4562be7f-bb42-40b2-8426-465e3e37952d"/>
        <s v="5f3f5638-3870-4a14-b490-b6081dfc8352"/>
        <s v="6d16ee18-5521-46dd-aba4-b180cb69ca38"/>
        <s v="c87a7463-19c1-4a0d-8feb-d845d0dfae43"/>
        <s v="38018b47-b29a-4b06-9af6-6c5f2577bffa"/>
        <s v="a25b59fd-92e8-4269-912e-cbc40b9475b1"/>
        <s v="9a27d858-88c1-42ad-afbf-c19ee8f6cf32"/>
        <s v="1fdb8b32-06d5-49e8-92f1-75ffae3b16ec"/>
        <s v="d480865f-9b38-4e80-b042-e325a28f5ab0"/>
        <s v="176ea1b1-6426-4cd5-9ea4-5cd69371a71f"/>
        <s v="1db53334-fb03-43a1-9576-d4155ec17dbe"/>
        <s v="31d0b664-0589-4877-9b02-52440950fd13"/>
        <s v="b7d6467b-2f5a-422a-b87f-43fdf6062541"/>
        <s v="ba26d851-35e8-479a-baaf-0e891fb797fa"/>
        <s v="ade9b2b4-efdd-45f8-8fa3-4266ccfdba9b"/>
        <s v="9edfa3da-6cf5-4b15-8b53-031d05d51433"/>
        <s v="11ebcd49-428a-4c22-95fd-b76a19fbeb1d"/>
        <s v="4d125e7f-a59c-4c98-926c-bc8f38884479"/>
        <s v="0fa07a3f-2e29-4065-afa2-31e959acdd98"/>
        <s v="98b33c6e-0a14-490a-b795-e98680ee526e"/>
        <s v="642aad48-fcfc-4a81-b306-d70019d5f970"/>
        <s v="e786ab37-5bca-47be-8298-17c53308fb2e"/>
        <s v="e6fd68e8-d69c-41c2-b860-1602bb4a06cb"/>
        <s v="b29c467d-2b5f-4932-91dc-59efeb21a3f6"/>
        <s v="c470f0e7-f76f-4fb8-b412-fc12ac322c12"/>
        <s v="28805c5d-ad1b-4f60-89e4-dab20edc6d2b"/>
        <s v="878b9f6b-57a1-4b71-a975-d279d86dbf11"/>
        <s v="ebe21368-98c7-4205-9e01-a934402d0baf"/>
        <s v="0361524c-2cc0-4859-aa65-24ab713b7e05"/>
        <s v="e66cd36e-68ef-4f5f-ae68-690a78bc7175"/>
        <s v="eae2025e-8233-4e23-9ff3-334b91b15f5d"/>
        <s v="637e0edc-5b6e-4ae7-a620-81434fbaecc0"/>
        <s v="27460f22-403d-4f83-a859-890cd670f668"/>
        <s v="753c7c99-032f-46ca-b0d9-c2aa8f837ef7"/>
        <s v="bd30291a-55fe-408e-943e-2e04bdd7d19b"/>
        <s v="2284b7a4-47e7-4593-8b58-85ca0bb2c3f0"/>
        <s v="7b59051b-f400-48d7-831d-5a973d792fa1"/>
        <s v="ac642b4c-49b2-4ded-9c31-d9b25a2b745b"/>
        <s v="e456697c-f268-4baa-971c-702d5bf49c04"/>
        <s v="21e15094-9efe-4464-9a90-f534a23d4c9d"/>
        <s v="bf9cc545-6355-48f7-8f6f-a985b732d46f"/>
        <s v="14aa451c-a69c-4b85-9432-f8db6a174c1c"/>
        <s v="b2d650af-313b-42b7-9836-31890063e42f"/>
        <s v="391cf046-3d4a-4d51-a8fa-fd04559b5975"/>
        <s v="b5d97ef7-60ef-4471-b2b8-ff39a32c9b6f"/>
        <s v="dfe1b307-9172-4f0a-ac7c-8803e01bbf50"/>
        <s v="df26f517-66fa-4989-8813-5d586a1689ad"/>
        <s v="c5adf681-6b10-453a-9145-de05b3ab1b2c"/>
        <s v="2a69acc7-0bf9-40ef-b581-6b74a985ab61"/>
        <s v="b3969057-425c-4200-905a-da6b720299e3"/>
        <s v="e28bc9ff-870f-484c-b244-f536285e25b4"/>
        <s v="9a9e4310-8fb8-4bab-a875-4cd37cbd7025"/>
        <s v="09f6048f-e245-4460-8004-884cc167733f"/>
        <s v="d675ebf7-4fe3-4c9a-9371-0f577e9cf84f"/>
        <s v="d29dc5df-cf1d-4110-8cc3-6d8c77863fe5"/>
        <s v="6a46721a-cffa-4cdd-b963-a7efe00111e5"/>
        <s v="f689a4a5-ffda-4336-8c6e-90373020da5c"/>
        <s v="d663049d-155e-48b1-ba83-ada4a2121ac5"/>
        <s v="03c54c71-fca0-4536-a169-df82b9bdee2d"/>
        <s v="6ae04d52-adb3-48cb-b315-8c0c66dd7794"/>
        <s v="03a89879-36a9-4d74-80de-59f550f0fc2b"/>
        <s v="faf1501b-009a-415b-8137-8be5b7a28e0a"/>
        <s v="9cb017c1-8741-4e91-acfe-bb4bd29e8693"/>
        <s v="9bbd750d-1e70-4c52-b0c1-fb6a19086515"/>
        <s v="4d6b234f-dfa7-46ed-b2d1-f81ba636425c"/>
        <s v="2ea60b99-fa7f-48bf-b044-284a47acf2f6"/>
        <s v="ec3aa314-da9b-4017-b9c1-47c719a5711b"/>
        <s v="0597aab6-14d3-4dbc-a0ac-f4c9658de17e"/>
        <s v="ccc14d51-73f6-40d8-a9f4-1cc04653a560"/>
        <s v="41a93f90-dc82-4527-9da3-b7e2cad6e514"/>
        <s v="d138d150-8557-416a-a750-2a812227d96d"/>
        <s v="1d77ce40-58d8-4776-a51a-d4f3a699bae0"/>
        <s v="d9ead926-4745-4d9e-a789-6389df3277fd"/>
        <s v="34ab18fd-0a68-488e-8ad4-041504c14982"/>
        <s v="50910bdc-8ef0-46d4-8279-b14dae55cdff"/>
        <s v="914591ae-f03d-466a-9dec-c06af24dfdd8"/>
        <s v="d8ab0b30-0ac0-4f0d-9974-c146e8ec01b3"/>
        <s v="9b8b71a1-b38a-45fb-b611-64cebfc74ca9"/>
        <s v="a4e695c9-b65d-4226-be96-9cf3a7c5cb87"/>
        <s v="6f790959-a3e0-4b3b-b56b-0715e7180322"/>
        <s v="2da44da1-89b5-4368-9f14-c6125f58d5b5"/>
        <s v="4a814d53-964d-4b77-a025-f0ae35354579"/>
        <s v="4578bab3-26a9-4465-a371-ea2c0247145f"/>
        <s v="5e00ea6d-ca24-4e4d-9667-2017555a4085"/>
        <s v="c787ddfb-5697-417c-97fd-3736b7ef941c"/>
        <s v="4505f4f6-0a8c-46c7-8921-5f4f9edb95f2"/>
        <s v="955d0e77-fb5e-4866-a640-211e29f2c3c7"/>
        <s v="fd42f697-6511-4656-9c64-60364a1eb1b7"/>
        <s v="1d69d9fc-4b1c-48bd-a130-260c8c69778f"/>
        <s v="ef0a81ed-3d5d-40bc-bb03-78eb7a62722e"/>
        <s v="db66bfda-2df9-4747-8ed1-35530c5a876f"/>
        <s v="4d7bd307-1224-41e6-ba89-82dd85e69ea9"/>
        <s v="4c9a0ae1-5419-4efc-95e7-3e3f673617d9"/>
        <s v="8f928dc5-1972-4ce3-9bd0-94486a2b3200"/>
        <s v="564ae909-7958-4e69-bb2e-1b82e89dc815"/>
        <s v="cff4c56b-f9ea-4c64-8c41-7e7cd741d609"/>
        <s v="1db2b452-7aa5-4a18-9fd3-c01757f98d1e"/>
        <s v="09aedbd0-6d31-4b4a-bf6b-8793b318ad4c"/>
        <s v="afe6790a-bc18-440b-95c7-ed9d4d4985dc"/>
        <s v="2aa36cf7-eb70-4a65-a7d9-9a23e4f7625e"/>
        <s v="ce5dc807-6025-4199-9082-3edaa0722aa0"/>
        <s v="16408169-a38d-4afc-bdd2-ed7af97ccc57"/>
        <s v="32b2c492-15ac-47a1-8eca-2ee310da8a95"/>
        <s v="62830869-0fa7-4e05-b897-4df5bff773ce"/>
        <s v="8e751eb7-64d0-4913-991b-8adf0202861c"/>
        <s v="eb8f2056-72d3-4c5d-8a31-b24384dd6da6"/>
        <s v="b6e355f6-95bb-440d-89cd-4af97d161f29"/>
        <s v="156af458-6c4c-4935-b79d-eda1ade6c5e9"/>
        <s v="ffc573d5-fd0b-470e-b85a-f4635e4af862"/>
        <s v="2aa50f4e-c6f0-4933-95d1-805142cb6d1d"/>
        <s v="1d7173e5-5bc7-4deb-b123-4efe6e648043"/>
        <s v="da54f267-dd13-4266-926d-53961058fe8c"/>
        <s v="869bdbd2-e72b-45b7-8712-0911b3b68b57"/>
        <s v="33a1d1c2-ad4a-4155-809f-cd8f739cd488"/>
        <s v="41a8a6e1-65e0-4993-bf41-1fed1e70e799"/>
        <s v="ff3e0ba1-0ac7-48b4-a418-65bf350d278d"/>
        <s v="9f982188-3744-4a64-8c24-9558f2ad985f"/>
        <s v="755a3ac1-32ae-4a20-9ac9-02ee25777cf0"/>
        <s v="d3b564b0-8be0-4c3e-9c94-938160c6b3ed"/>
        <s v="98a33736-fd1a-47ce-9ad0-a6f226bdd974"/>
        <s v="905c053b-25fd-4cbe-bce7-1b48fba52e59"/>
        <s v="6c596216-ae0f-4bc8-a36b-cb0167e98363"/>
        <s v="ade7cef3-7ed2-4c2f-856f-3d95e0ae1a1b"/>
        <s v="d5627386-528c-4241-a345-ac72eac39204"/>
        <s v="a2939b3b-7fa7-4d8a-bf88-ec827f99d273"/>
        <s v="8af58903-33b5-43ce-9fec-4623ab899605"/>
        <s v="027c013f-3801-4399-ae6a-8e2f9c19ed34"/>
        <s v="bf3df0bb-f66a-4168-b4a1-ca795718ada2"/>
        <s v="52631db9-d170-44ce-9179-7350e6256403"/>
        <s v="dfde2281-25fb-4f3d-866d-7002091472ad"/>
        <s v="27e969e2-c8bf-43fb-9a43-1f7a41c30359"/>
        <s v="4b5ca436-953c-478e-a106-7a8cd7a3283c"/>
        <s v="786e30ef-ce9b-4e70-b4d4-dfccb7d779cc"/>
        <s v="843b2a7d-15ab-4c21-8cc9-3ff710fce97d"/>
        <s v="10fc9eee-0a17-47f7-aa5f-24b6de6fec4b"/>
        <s v="4cea2df0-0a66-4c4e-a168-1081399f8a8f"/>
        <s v="72d6bc20-d80d-4a1c-8247-2fd603e9ba02"/>
        <s v="ccf719ab-2922-4bd8-9ca5-b35354a1d505"/>
        <s v="75f2bc20-a7f5-495c-9e62-d43f261908b9"/>
        <s v="61d9fe39-8147-48f4-9f0e-f320f7f60e7f"/>
        <s v="089b30a0-809f-4923-87a1-798fe6addd9e"/>
        <s v="cb4d18d6-adb6-4a35-9734-a26c92e94e89"/>
        <s v="99a2ecb1-c202-487b-849b-8a44ce1bb02a"/>
        <s v="6d265dd8-bf39-4fbb-938c-3460fd938adc"/>
        <s v="4a276dda-34c3-494a-812e-a9b8e7e13ed8"/>
        <s v="6af79ad2-993e-48c6-a6b1-06e289110af0"/>
        <s v="d872298c-7b72-490b-b8f8-f071d360da69"/>
        <s v="9b8086da-6379-4035-b8e4-5086ca819c6f"/>
        <s v="dd620222-d9ef-428b-bbcb-50b3961d8dcf"/>
        <s v="e2a01335-a830-43ab-853e-4b42cc4da021"/>
        <s v="4d6cd782-2e95-43ea-bda1-7da2000fc63d"/>
        <s v="552ae5ca-4124-405b-91fc-fe8881c16e98"/>
        <s v="4312ece2-dc21-41e1-be56-ac3d10cc8711"/>
        <s v="c5c14262-4d84-4ec5-9334-886ff164f9d8"/>
        <s v="6238d0a0-cf5e-4ea3-a258-4ab368777bab"/>
        <s v="ef7e85ec-a417-456f-a9ee-7f3d0ff030b8"/>
        <s v="babd4745-497e-4f1a-bd2b-f042209818d1"/>
        <s v="f11ddff7-0e37-4526-9582-a3bdd476fe38"/>
        <s v="2412579d-6af9-44e0-bb38-785b0932f5b6"/>
        <s v="9a1a7d6f-dd02-4100-a3d4-84087de8a234"/>
        <s v="b2ddc481-ac6d-4df8-94e5-064cb799ae8e"/>
        <s v="5a4f4145-fc98-4279-8f6f-111c26c06e67"/>
        <s v="775e0ec3-9c9d-43f3-8901-8aee69407be7"/>
        <s v="19faa06e-0c0a-4967-b579-501a62fda854"/>
        <s v="052daad3-26c0-4984-8734-bb05788c31f6"/>
        <s v="21f8c156-9e0d-445b-992a-34a1084fa819"/>
        <s v="b3386c3e-1af4-487f-92eb-dac5a1457899"/>
        <s v="31e9ca80-58bf-4b9e-a624-5b598c94af98"/>
        <s v="c707aef9-c6c3-444c-888e-03b662276cbc"/>
        <s v="0f66b32d-e19b-4837-9c6a-4b5e7d859725"/>
        <s v="9d44c93e-7799-48e2-b368-c5539c30ceaa"/>
        <s v="a6855857-567e-4862-af15-1673a1df3da7"/>
        <s v="b6af98b2-aeba-42d0-b830-32491fd3af07"/>
        <s v="d960af85-c9df-4e44-8bdf-fa7d9f3dd894"/>
        <s v="633cbf79-e96a-41af-b55e-3aa2208a393e"/>
        <s v="beebb4ea-eab9-421b-8b36-b545cca1a034"/>
        <s v="fbbff9e0-ae56-402a-b521-ca9fdf5e6f78"/>
        <s v="dc45488d-84dd-49b9-9f1e-0ee9cf6c9992"/>
        <s v="09c67417-306a-4871-beef-71cbc915d113"/>
        <s v="5f1ff97c-71cf-4814-a45b-d776c838a145"/>
        <s v="5b471c43-7499-428c-b0c3-2323c1b199c4"/>
        <s v="f4dd05d5-1349-447a-a1cb-a182ca20854d"/>
        <s v="0a3c2c6f-ef2d-4a38-a6e4-b8df0b6d9611"/>
        <s v="06d2ed7c-e6ac-4d8a-8160-ff927c7550f2"/>
        <s v="91bacf80-aaa0-4996-8522-dc4ef1dd50bf"/>
        <s v="3acaaf82-374a-4cc9-a039-7e67926146de"/>
        <s v="e27ac8e9-d1c3-41bc-86be-643217ee0eb0"/>
        <s v="809e2109-c786-4a38-a09f-1aede38690e7"/>
        <s v="81d1bf06-6b8c-46f2-8611-f583b2d10e3d"/>
        <s v="254bf7ae-1d0a-4994-b20b-575d4e28e674"/>
        <s v="6c0be55c-90e6-49e1-a44f-c3a96d0c62c3"/>
        <s v="1ad1daaa-ef8d-4ff0-9583-1feeec41e6f6"/>
        <s v="6a480542-1965-4435-901b-b5fa6a677623"/>
        <s v="f45da406-bbf9-4b01-a7f9-e728c618fc1e"/>
        <s v="6e5bac20-725c-4675-8a95-71e407dc02b1"/>
        <s v="7f22cd12-07b6-408e-aac1-ca75afb918c8"/>
        <s v="53125ffd-f655-460b-9d32-e231eb561699"/>
        <s v="5a3da367-141b-4a1b-80a9-78bfb8f8903b"/>
        <s v="b1182d23-5bf8-4676-9f12-a0e912011caa"/>
        <s v="2d8b5b41-590e-43da-986f-1721078548d7"/>
        <s v="3b019fcb-f96d-4403-948c-93f3028d042b"/>
        <s v="98ba0f0e-120d-4126-9da5-3b38d1aa6c5e"/>
        <s v="00d3d1af-353e-4c86-a4ae-ba79e4b82987"/>
        <s v="bb6b0095-ac7b-4ab2-a8b5-6f85346d2b7e"/>
        <s v="bf7b68ae-1f89-41b6-a6a1-a40bf031f4b9"/>
        <s v="b080e003-5e7f-403c-8b13-47f601d6d903"/>
        <s v="3b9cea95-9ad7-458f-aecb-325b064f768d"/>
        <s v="743c7e9d-2fde-4035-a452-bc39dbf2eed1"/>
        <s v="b51d70d8-582d-4972-ba08-9ca81cc5a8a0"/>
        <s v="0726d44a-2152-43c7-821a-a15ef58c43ce"/>
        <s v="55c36c3d-5cbb-4080-b547-5c5ef76dce6e"/>
        <s v="4bdd5f99-4ae9-4e11-b5fe-0213792ecd75"/>
        <s v="8d9ecfb9-f549-4e22-a0df-7f74efe78b60"/>
        <s v="97d01e70-2f1d-4bef-93b5-3b92a2cb5f38"/>
        <s v="88819f42-1a42-4629-94af-e646fe3216bd"/>
        <s v="606821d6-280a-47ee-8ec9-85ff94b28b9d"/>
        <s v="200f7753-f217-4aac-a59c-ff81e5ce0ca6"/>
        <s v="82221345-50de-4292-b90a-9016cdec85da"/>
        <s v="2f16fb50-c13e-46af-bc95-90d33e2aad3e"/>
        <s v="a9c72e7b-6b77-4df1-9f59-aa2c4a82e06a"/>
        <s v="99e8c828-21da-432c-9c68-d4fd0bd7696f"/>
        <s v="b3c161c3-13f2-437c-a4d0-27590542bd75"/>
        <s v="4ca49aaf-6b94-4e09-a1cc-14b312bdf75f"/>
        <s v="ed28508d-bdaa-4bfa-aab0-15638cffbbb1"/>
        <s v="4c4b91fe-6c14-4fc6-9750-ca7e246cb09c"/>
        <s v="3f80c31f-15a5-412c-9ac4-b6c7a31034dd"/>
        <s v="a3155940-5e87-405a-a1fd-cdf171df24d9"/>
        <s v="605dd4d6-0ecf-495b-877a-2133f2ed33e1"/>
        <s v="f642c8f3-6acf-49eb-8228-4fd9689bba65"/>
        <s v="70f8dd99-5217-4eb7-a6b9-20daba6a098f"/>
        <s v="f3cc9d8a-4b16-48e4-9f20-f4063438b4e4"/>
        <s v="2f7a304f-f344-4911-974f-7a54788c161e"/>
        <s v="1cb66f67-46e7-45ad-9bce-35d8cbe88a3f"/>
        <s v="27649a62-b02d-452c-9b05-0db28ee4fd02"/>
        <s v="eda2fc4c-7237-4420-b3dd-77e1cbb02fe9"/>
        <s v="6bf4d047-c484-4a8d-af75-1bde66163e5b"/>
        <s v="f5a3e893-3f7a-4748-acbb-93c26e84f8ea"/>
        <s v="85fa2d5c-efe6-471b-9723-a95974151acc"/>
        <s v="a1ab17c0-7662-49cc-9af9-5c78247f4d97"/>
        <s v="c149fa8e-7bb8-42f1-9624-d318a32652e8"/>
        <s v="d4864482-0078-4b12-8b73-50d13421beaf"/>
        <s v="764657ca-9e65-436c-b2f7-74b1b2f11ef9"/>
        <s v="1d4d1180-4c6e-4fbb-b7fe-f6b501fda698"/>
        <s v="4d18c103-a100-4d14-ba92-cd28c4c536fb"/>
        <s v="6c98f73d-27fe-4b4b-9bf1-f1d18b92c247"/>
        <s v="17b18e6e-78af-458e-8058-a332b4cfafa8"/>
        <s v="f5feba5e-c295-4f51-bf67-ee1aad9d1f42"/>
        <s v="67c21355-c312-4af6-8b32-992a3b7c1f9a"/>
        <s v="0588d91d-fbe8-4a8e-a1cf-0d1d47b3df41"/>
        <s v="ab2212c9-e23b-480e-8523-dbbb1eeed219"/>
        <s v="65ff6adc-41ae-43f7-8010-98240a614be3"/>
        <s v="b5c03f6f-94e4-4c44-a3fb-dbda86ae9d5c"/>
        <s v="bf1df687-1a1e-4042-b1d0-4b0f656fa7e6"/>
        <s v="df0d6301-488c-4c4e-9a94-14b840aaec7a"/>
        <s v="322f1499-e8a5-4f31-ac2c-10d0c15648ff"/>
        <s v="120961ea-0913-4087-95d3-8ca9986cc8d5"/>
        <s v="889c8ae2-4e3c-4f2d-8332-559dcad00273"/>
        <s v="dc0520a4-87ba-4b90-9e41-5c4e57030ede"/>
        <s v="c31277fd-eb83-4f16-a404-d8083fc18c00"/>
        <s v="dc66a27b-6a32-4333-916e-8a6429deb984"/>
        <s v="22696227-8513-491e-8862-2a674a294067"/>
        <s v="35d4cd35-a08c-4a00-85e7-425092f078b8"/>
        <s v="f4a5cc36-692a-4bce-9af5-5c2688083ebc"/>
        <s v="bdce29ef-6746-40eb-8b27-9c29a274c0d7"/>
        <s v="47534952-c9c5-4ef1-a76f-8a76c74f11cd"/>
        <s v="9177b6d4-5f2e-4167-b13e-ceb14ad12b4c"/>
        <s v="1f9078d5-2835-4cdb-a347-b24fa0f9c074"/>
        <s v="66b62087-61a5-4fdd-9eda-4209b270af55"/>
        <s v="8f42cebe-23b8-40f3-b7cb-1a27974fdedc"/>
        <s v="a1d20ebc-5aa3-492a-8c88-b9d8ab12fb53"/>
        <s v="37cf8025-6a44-4a90-be0a-5a5679009c61"/>
        <s v="8066b49b-b1d7-42a0-bd25-cefb7a0a02ba"/>
        <s v="f55b2e5c-a6ed-4ac0-be22-e1b751783032"/>
        <s v="248f4a25-4cd8-4f24-b1a8-c9c60f6ab75b"/>
        <s v="e32866d3-0d6a-48b0-beda-9ab9bec60ffe"/>
        <s v="5afb9565-068a-4c38-b739-076a9f032cdc"/>
        <s v="fe2d9d1d-e377-4008-a416-59c078b61daf"/>
        <s v="fa999f9b-86de-4365-98a2-30de02969326"/>
        <s v="14d4dad6-ddfa-4808-afd8-643211035083"/>
        <s v="ecb3d561-bdf0-4015-b305-ee95afb120f4"/>
        <s v="5c7cbc62-01a4-47a1-a526-4961ab4414ae"/>
        <s v="00f520f4-9ef1-4846-9dbc-24fd0a8aa1e4"/>
        <s v="a3ef802e-df86-43ce-8534-32cdffeb5d5f"/>
        <s v="e695f8ba-ba23-48fe-8ae3-02f3b31e9be8"/>
        <s v="92a651d7-c069-4542-a403-97213a082921"/>
        <s v="6f1bdd07-1aff-41ae-b0f2-c48549b564fb"/>
        <s v="62565a95-5487-45c3-b762-6f4975fd3537"/>
        <s v="a5e3a719-6bf5-4dfd-94a8-762b2b12c92c"/>
        <s v="25e4979d-6f6d-4f79-affe-2554e5aef699"/>
        <s v="25c29b6a-b575-4c6e-aee8-4bcb7281b8a9"/>
        <s v="35783f66-2114-42d6-90ea-1324862f78e1"/>
        <s v="596305b3-71b2-41e4-afd3-b9f2e90f79f8"/>
        <s v="6d62e40c-638d-421a-bbc5-9e92ca1209ad"/>
        <s v="bad3116b-63b8-4897-bdf0-fe6bce8d75f2"/>
        <s v="707421d4-3239-404b-8bab-5b51385c5fdc"/>
        <s v="b5c25d42-9626-48c4-b44a-f454f0a61c5e"/>
        <s v="0884fd16-636a-4f8c-a7e3-f52c0cbf404d"/>
        <s v="defa7864-15ac-45c3-a217-cf253be95767"/>
        <s v="be3feafd-0e96-4d9b-9d15-8e442fcf3b87"/>
        <s v="3baa17f9-2c62-4ac3-ad70-27cfa358cb1d"/>
        <s v="162d5c72-9ccd-4e1f-8c2a-bdaa9c5c11eb"/>
        <s v="c061c99b-831a-452a-9e6c-8762b475e15e"/>
        <s v="e2091f49-e0a1-4d2b-857c-799848d002be"/>
        <s v="0dcf035b-7552-46e8-a953-a1155a62ddc4"/>
        <s v="aa66b464-8420-48d9-b261-d0d2a1c2d9bf"/>
        <s v="8c141838-f468-40a2-a604-e5aff4db1c1e"/>
        <s v="6e3c18c9-ef1f-40a3-bc02-ba67ee04bdde"/>
        <s v="413770e2-7d7d-41f5-b460-d20d94b9cdb5"/>
        <s v="56525ce0-3725-4d0c-b9c4-5c38b440ffe0"/>
        <s v="0d742256-0b36-43cd-8acf-eba4441030ae"/>
        <s v="4a30f7cd-00fd-4c23-998c-a3b429b10823"/>
        <s v="104dff66-23f1-467e-81d3-4690a795ac54"/>
        <s v="38dfe76b-ae35-4290-ad80-ab08c963d148"/>
        <s v="8ec9ea98-6581-4934-9bcf-b1c4f87e3560"/>
        <s v="315e8080-7425-44e9-b891-aef5ebe0572c"/>
        <s v="9b3a0c89-1a32-4148-9bba-c83856e9b78d"/>
        <s v="51abf5e5-cb77-4e24-95eb-3a3de2014a45"/>
        <s v="e4bacd78-74ab-49fc-8930-d17952ab793f"/>
        <s v="85a1282a-0761-485b-8168-705a533c9a31"/>
        <s v="14827a89-5e63-44c6-b0ac-79dd0b5aafef"/>
        <s v="5882e3bb-8646-46c1-9eb4-e6c435a7c6ed"/>
        <s v="4053b188-339d-48f5-9658-b1b33012ae1c"/>
        <s v="4d236555-bc50-44ac-baa1-72acac33f644"/>
        <s v="6279d944-dc28-47c6-8453-98134fee7144"/>
        <s v="df39ccaa-580c-49fc-bb69-e69041300879"/>
        <s v="4e49df56-0b64-4acd-bd6e-2667b6651d6e"/>
        <s v="025b7c5f-1284-49d7-8d4e-2753ef26a5b7"/>
        <s v="702dc88a-b97f-43bb-becc-040c75ff93f0"/>
        <s v="6980b561-cf1a-4cc1-aaca-38110c26e5d9"/>
        <s v="70aaf525-75e4-47dd-be5b-637dfa98c115"/>
        <s v="3dbba3af-14db-4d22-95ea-e9d21e3d59d0"/>
        <s v="275f275c-c3f3-474d-9386-1b58194665d3"/>
        <s v="36a5be06-eb52-4e01-a25e-651269fcbef0"/>
        <s v="d16903f2-13bf-49fe-9cdd-9f6c70cdc4a8"/>
        <s v="e2f88051-c13c-4688-8f1b-5be16d4ba69c"/>
        <s v="f57b8a92-0a12-43b3-a4fc-0dbad44f85e7"/>
        <s v="38553ac8-7d71-4591-bfee-2fc72e2dffdf"/>
        <s v="476c4878-deff-4d7a-9728-525620ca35ab"/>
        <s v="fea2a33a-51d1-4bcd-9a23-754bef38d426"/>
        <s v="e64ddd91-8e9b-485e-9b77-0deb6f51ea78"/>
        <s v="c9fe6036-8a83-4fc8-9c2e-55624916e844"/>
        <s v="c707e77b-4bf0-4e53-b608-8c973380dcfc"/>
        <s v="764ab510-9acb-4588-8397-d4127118bb71"/>
        <s v="45c596d4-42d0-4ba3-a265-2c9e89421c6d"/>
        <s v="9d683a9e-1e65-4ac1-843d-2c473b56735e"/>
        <s v="2c2df3c2-1951-4f87-b63f-83c6c89309e9"/>
        <s v="37d316a4-3faf-4217-aa27-241fbb9e5a02"/>
        <s v="ff4533fe-bc6f-46ac-a139-d15d48d8b9ef"/>
        <s v="89181ba3-bdee-4231-81a6-009ea8dce886"/>
        <s v="0cbdc014-dbed-442e-ada3-13e783e9973b"/>
        <s v="45c190a8-a52b-40ce-a27b-585f1f2de275"/>
        <s v="908e0372-bcbe-4a42-b89d-3fda1e454241"/>
        <s v="b76fc5b2-acc5-42df-bac4-9efa5be12d09"/>
        <s v="483c1a4e-a91d-42cd-8bf0-6f64b4178592"/>
        <s v="e6cd3595-d4f0-465d-bd68-17b638b80611"/>
        <s v="4eb98768-84a5-41c3-9095-e4973d798f0b"/>
        <s v="5f89d54d-3bcd-4aec-93ca-8c05acb5959f"/>
        <s v="9501e917-496d-427b-baf2-f402a0e624f1"/>
        <s v="03f7ba05-cf4b-4315-a325-4d812bdfb727"/>
        <s v="5df2e073-53f0-4099-813d-d49a8d99743c"/>
        <s v="cfdef303-0679-4b47-a283-453695decd6e"/>
        <s v="27be0381-6544-497d-a078-9f97213c121c"/>
        <s v="fdc12930-82ae-452f-ad40-76bcf9cb2ee8"/>
        <s v="34dd7624-c3d9-43b0-a2b5-6be11392a255"/>
        <s v="7f2a2e65-c659-4f7f-aa45-5fc7c80cb483"/>
        <s v="f8247e70-b219-4ff3-846a-c0d691ca9f9e"/>
        <s v="21d32e24-bb89-4746-bc3d-a91136a52df9"/>
        <s v="62759469-c28d-4ad5-bbd3-147dd0f0c75d"/>
        <s v="21ee302e-974d-4d49-9bc6-98825a7c831a"/>
        <s v="eaf94919-e69b-4971-bf9b-76efa1057256"/>
        <s v="06a8e22f-d57c-4f0d-9db3-466d1ba6cc61"/>
        <s v="7d3c279b-5bce-428b-989b-b03086c47b06"/>
        <s v="f568c9c6-033c-4469-8f06-ea1874a26444"/>
        <s v="29bccee9-a71b-40ef-8e36-b82f3856be31"/>
        <s v="cf2a2198-7ea4-46f5-a10b-4aada92d6b05"/>
        <s v="8bc88bcf-7b1d-4049-bcc4-616df40d2a37"/>
        <s v="142a6c95-d908-4a42-b448-0761505e9c9b"/>
        <s v="66dfeb1e-9ab3-4c27-a32f-8c5b425832c0"/>
        <s v="5100f186-d25a-4049-b0e9-be17b4134208"/>
        <s v="f19b43da-6253-4fe3-8aae-b212c90ded29"/>
        <s v="50ae2652-09cd-4bdf-b56a-f7370f2670d2"/>
        <s v="3fe65f90-f631-481e-bf40-1e04b9f94ec6"/>
        <s v="ab1e6794-70f2-497a-9ceb-201357d9af8d"/>
        <s v="39d5b552-a867-40f0-a8e6-a772b9cde60c"/>
        <s v="298e9a79-abec-4c0b-981b-a30742965873"/>
        <s v="92d6ff73-5b3a-4595-8458-92c14e0e15d3"/>
        <s v="a1645f58-bb78-4b2d-8ee5-144d8a1d8b42"/>
        <s v="7db931ce-05a0-4421-9a79-b46a26b61b06"/>
        <s v="3dd0c866-0649-4ef5-8fb2-de1ea0b976c2"/>
        <s v="f20e8bda-39cc-4d88-832f-594d0b82b61c"/>
        <s v="d22a3a62-1109-4978-93a0-81a6a7647989"/>
        <s v="a9fa4ea6-f8db-4a4d-984d-3c020ff9d318"/>
        <s v="ec071cf1-e476-48ec-a2c7-1d046c32faff"/>
        <s v="245db6ca-6f6a-4196-b2ef-7dce376e22a6"/>
        <s v="a629d332-2d4b-45a4-8fdc-13515ba830dc"/>
        <s v="c90853fd-fc9e-4692-ba62-6aee542d19c0"/>
        <s v="027752fe-61f6-4c6e-a89c-0559bf4fa4a3"/>
        <s v="88a0edce-4384-460c-a413-961f68c6dd5e"/>
        <s v="fb0a6a90-bc52-434e-8dfa-4cc88805ae31"/>
        <s v="c2537638-7670-4835-b476-998dafc8128a"/>
        <s v="1f626a97-ebe7-4f91-9092-0b690abc847e"/>
        <s v="2bdb5720-63ea-407f-b436-498e68afe2b8"/>
        <s v="9f312acb-2362-4bc1-8024-532000cbd313"/>
        <s v="d70da545-8391-47a6-a977-4b71de6d2d7e"/>
        <s v="1463c5f8-25ee-44ab-b319-1702bb80d98d"/>
        <s v="d4088ff7-d713-4061-bcc4-f772547e3918"/>
        <s v="f22a4fc6-3f2d-48a8-ad20-481ad216ad53"/>
        <s v="e575ae93-ce74-4e8a-b4e1-680b05a02c72"/>
        <s v="d69db137-c9a5-4cd1-be28-e8c52b395c4e"/>
        <s v="b7c144fb-2b16-4d04-8fb8-7c76af044a8d"/>
        <s v="dd5aacc7-ed7a-4edf-ad5b-7d501417d4f9"/>
        <s v="a0e77486-9ed9-4124-9a89-5c62990e8f01"/>
        <s v="9d6c84af-266b-4d37-b5c9-9b49751f7e54"/>
        <s v="571aa4f6-40a2-4015-8a40-a3799a1ab357"/>
        <s v="606375b8-bb93-4826-bcee-9d29ce4f1ca0"/>
        <s v="e3b4df81-eeb3-462c-a032-149d06fafb60"/>
        <s v="5bbdd1f4-16f1-4aad-bf10-7645094c0230"/>
        <s v="754724dd-269b-4c3b-abf0-f4bd4af0a6fe"/>
        <s v="298b7e5d-5b16-44ad-81e7-74de3c740119"/>
        <s v="566ff3ec-679b-49e8-80c3-2da9bc49b58e"/>
        <s v="f1c58f44-7e08-4c1b-8da6-a326451437d6"/>
        <s v="87c47eb8-4f8e-4e01-83c8-e1046480fdc0"/>
        <s v="780afabf-8cea-409b-89c9-4aa5e689e5e8"/>
        <s v="88239867-c5dd-467b-88f1-100bfa3222c4"/>
        <s v="ef208346-432f-4308-8d56-206d920c3de9"/>
        <s v="6522ff46-74b7-461c-89ce-15a8afd4fc7b"/>
        <s v="58ba0bf3-675e-4c52-9eb9-5739b8acdd81"/>
        <s v="45e695b1-054b-4816-8d18-533e7efa2faf"/>
        <s v="4100e665-08c6-46a9-bee4-e6bcbd6deb92"/>
        <s v="b3e4bd3a-94fe-41a0-ae2e-45a4ae4404d7"/>
        <s v="feb46b24-4a2e-4d41-addb-0263c6a2894d"/>
        <s v="c33993f2-3504-4f77-8317-c3d4afa4f554"/>
        <s v="62d59938-571c-4d78-8429-aeae877e5ea1"/>
        <s v="402988fd-f8cc-4f3b-959b-148ffa7bff5f"/>
        <s v="fb52451d-90e7-41a1-9db1-dfdc357f0a64"/>
        <s v="f16f1487-f7f2-4e5c-8e07-55e354565b12"/>
        <s v="ac825818-960d-4788-be1e-165decadbb86"/>
        <s v="e02a35e9-ae6b-4c8e-8864-4581b8577478"/>
        <s v="de386aeb-ea96-4be6-a99c-f16b5a7583c0"/>
        <s v="d8a1a546-54a6-487c-a72e-aa36e642965c"/>
        <s v="95be263b-0253-4c8c-91f0-c570bf5545ce"/>
        <s v="27fa8b8a-909b-471c-8d1f-0a7fd0fce922"/>
        <s v="4a8b77da-5cfa-48b1-9836-78eef3ca5f64"/>
        <s v="7eaf1679-52b0-4994-8b1d-d9fda02ebb76"/>
        <s v="6e566274-99c7-4bea-a756-264dc8649f78"/>
        <s v="c9d0a7f4-0042-4fc6-ab87-71dffccae6b8"/>
        <s v="711fa10a-0b29-45c6-918f-f3582408c3c2"/>
        <s v="0262a5aa-edec-41ef-9762-762620379089"/>
        <s v="e8ef99e9-7afc-40cd-b8bc-6621f2d7fe55"/>
        <s v="a9afa87a-d181-49bf-aa09-9a46f25a3c68"/>
        <s v="9cb9f9aa-bf4d-4eaa-81f2-005bc7537df5"/>
        <s v="efa2ce12-8c83-4848-91fb-a56e300a2187"/>
        <s v="d48457df-f325-4f2d-8759-5b016c835975"/>
        <s v="10339310-2b7b-4e99-878f-40ed2c805ac7"/>
        <s v="94665d45-284b-4bcd-a3af-11d0a8ab29f1"/>
        <s v="a1d33772-8101-4c5b-b110-397a1c2c7a34"/>
        <s v="627b9de7-9ae4-45e0-8b1d-c2f8cbf1f93c"/>
        <s v="4fb7c3bb-4408-404c-af44-6806c1378e75"/>
        <s v="c74dd25c-6dbf-459c-837d-975248f3531c"/>
        <s v="47caf779-b7c9-4da8-91db-32f8fda834ea"/>
        <s v="86fadb0e-89b1-40d4-8218-ca25f23db306"/>
        <s v="579e9a46-fd76-4f63-9163-de1d8df7a267"/>
        <s v="6e83a7b2-c857-48c3-b4a0-697630a31251"/>
        <s v="01847803-d840-4ccb-a446-eceecaa0a679"/>
        <s v="c8dec9ab-27c3-4784-82e7-448cc0037457"/>
        <s v="c81236e6-ec77-4fc8-b38e-5adba93fa902"/>
        <s v="76d142d0-5c66-49bb-a257-4c5a903374bf"/>
        <s v="e994f3e6-8fc4-4dd3-894f-7d5af313c0b0"/>
        <s v="cc68fd3f-9d37-4a5c-a2fc-7fe3696100ac"/>
        <s v="e65a3ae4-3a72-417d-829e-d120cddb2316"/>
        <s v="fb46ed39-8772-4347-9cba-9be3040464c0"/>
        <s v="31cb5e8e-ae25-42ca-a894-8b4cf0fcccc6"/>
        <s v="b3390a6e-a0b8-4e45-9abe-c113a1832fdb"/>
        <s v="bc39e1b3-bb1d-4677-84e6-748a7f3ab7dc"/>
        <s v="3df8eeef-e44a-41f6-9251-ad083fcb34fa"/>
        <s v="c2112eda-f1e7-4a9b-af65-70d74643d705"/>
        <s v="92b95731-13f2-4c86-ab83-f00fed2ee36f"/>
        <s v="b6bca2a2-be79-4965-bc9a-923672bbe7b3"/>
        <s v="e51c0cdb-8247-44df-9d1f-8e30731c877a"/>
        <s v="19b53b7f-b47a-4dce-8f70-9452ce8c037e"/>
        <s v="70c455a9-2a1b-4112-b033-1476f53fc3dd"/>
        <s v="6d3f4b37-ed90-41c1-90b2-e6e5ec6e61bd"/>
        <s v="4598244b-f0bd-4405-a50d-d400a27ee80d"/>
        <s v="c1fa924e-e1bc-4fb2-afed-6cc540b000a4"/>
        <s v="53e83663-9c14-440d-9b2d-81ccc602bd20"/>
        <s v="7e15aa2c-07b6-428f-8e98-ce2517337a7c"/>
        <s v="33e9e55e-4024-42a3-8334-f55802cee581"/>
        <s v="6f844392-62f9-4bb2-a5dc-ac6cc329870a"/>
        <s v="ac4ebce0-a02a-4b21-a2a7-d0fcc683ad33"/>
        <s v="d2928f4b-e151-4a0d-b275-16ea63a6aae9"/>
        <s v="5ac5f4f0-771e-4087-952b-1ee109d5b64f"/>
        <s v="907d8532-2076-4932-919c-21edd47133e7"/>
        <s v="d26eeeba-53ff-4644-8741-ee56b5e2834d"/>
        <s v="ebc16f69-7946-4978-a5e9-675306389bd3"/>
        <s v="14dc01bc-0aa5-4583-a2a5-a421858da7da"/>
        <s v="5c6be596-58f1-4c91-9d6d-47e490e0172f"/>
        <s v="b7a02afd-30d6-463f-91c2-72d801267789"/>
        <s v="789a2829-8a66-4359-abe0-a1771c5e1698"/>
        <s v="d763b159-ed9a-489a-9085-2f4f0b09ec41"/>
        <s v="067fece7-f1ff-46dc-b45a-a79bd855fb35"/>
        <s v="2011bc8a-e7bf-4a96-a484-9eb55096ccf2"/>
        <s v="a2b4d215-c3c5-407d-be29-2238fbfbe602"/>
        <s v="2462c274-abbf-46c7-a80a-ee2a466bd06f"/>
        <s v="ddda17a3-6779-4e0d-a5c1-df67987d616d"/>
        <s v="29b49664-0f52-461d-82f1-240d4e5c6dd2"/>
        <s v="e91e70af-224a-4354-a490-7635201910c6"/>
        <s v="b75db71e-a453-4fe9-b48f-653e7b1bcb6b"/>
        <s v="bad4c288-0bf5-4ed8-b93c-2989c399fd7f"/>
        <s v="d2d07223-0b20-4e0f-8505-0a17d2e1ed4d"/>
        <s v="b2835498-be80-493e-b0f1-bb1d8e10fed6"/>
        <s v="2e22fd39-f31e-4448-a323-c57fa197b954"/>
        <s v="d020baee-95fc-4389-8cd6-6756583e26a4"/>
        <s v="2ca723c4-8f4e-4442-94aa-aefe153251c9"/>
        <s v="ccd9f2af-339c-4a75-83fd-46ffd03459a4"/>
        <s v="b56b9357-b34d-48b0-93f3-c15842ce91c0"/>
        <s v="8476af98-425d-495f-8846-bf9040fe6898"/>
        <s v="e8f58c5d-ffa0-4419-b4db-cc40ef7dee1a"/>
        <s v="72e6316e-e671-4ad2-81b5-468a27bb1580"/>
        <s v="a1ee691a-09e1-43b0-a71f-27728d7f7ba5"/>
        <s v="83210210-a43c-491d-ad4d-a4ef95e38180"/>
        <s v="50eaa1d2-c1f8-490b-a55e-44b808a6d5b4"/>
        <s v="31610b3d-1257-463c-b25d-cb50d15b5985"/>
        <s v="9c63765b-74e0-4bbb-8a80-33a7a5fd89c8"/>
        <s v="85b303d3-756b-4c0d-8ff0-c8ac3d1cd68c"/>
        <s v="e9a4a856-556b-40fa-b5a3-cece28cdc38a"/>
        <s v="c5826444-79fa-4501-a287-401ba7bbaa76"/>
        <s v="1519401c-8b1f-4137-8ea2-55e08e50c79a"/>
        <s v="00a1402e-57e7-4f7b-8486-10cfd21276c2"/>
        <s v="1a9e8547-147a-48ac-865d-8e4ed01e488b"/>
        <s v="91fd7d4a-5a31-46a6-9b87-cc5e6d7fe9b2"/>
        <s v="60c8e5a0-d560-464c-95f7-792a739ac9e2"/>
        <s v="d7604342-fcbc-4229-9caf-a108832c9b79"/>
        <s v="22d80170-1e6c-4d83-a2f6-2516dc88b09c"/>
        <s v="2ebed37d-05d1-46b6-acee-c38d511fcda9"/>
        <s v="567fec5e-04ea-481d-a006-8c1cbbd743b3"/>
        <s v="0b4cba0a-317e-4b1d-9b83-acd5e2ccddd8"/>
        <s v="b2e74e77-0fe1-4edf-a538-790169f12ccd"/>
        <s v="e963544a-63b7-4101-8bf8-e26a4fae667b"/>
        <s v="cb60fefc-c47e-430e-99b7-02a20d5f024a"/>
        <s v="eb1c3ba4-5b9e-42d0-ab0c-9fddb61b03e9"/>
        <s v="688181a8-13d1-4a49-ad46-9bf4d5cf2dc4"/>
        <s v="9aa909f1-5adf-4d04-b0d2-27180dd35d11"/>
        <s v="417df4f8-c1a7-4e00-9ec1-2fa2e6df12ce"/>
        <s v="d95e17e1-900f-42f7-8f4b-4ed5ac1d02e8"/>
        <s v="2e402534-6987-4052-b421-9d3ecdc39412"/>
        <s v="439f4b86-cd6a-4e0c-b427-965607db34e0"/>
        <s v="106861d3-633d-4c54-b304-59cc30c42d61"/>
        <s v="06b42b6f-1f94-43c8-98a7-75945b8c4949"/>
        <s v="675d0855-2d55-40c9-8576-598359cd012a"/>
      </sharedItems>
    </cacheField>
    <cacheField name="user_id" numFmtId="49">
      <sharedItems>
        <s v="e5a1bdae-a747-495e-b0c9-52af9db31510"/>
        <s v="ca6ef7ce-74db-49f3-92a3-3c33037e5725"/>
        <s v="b1e186d7-df25-4e5d-befa-9c478dd6650f"/>
        <s v="dba45b5e-1498-465b-b9fe-0a1b7efbe877"/>
        <s v="66e51767-dcb3-4e4a-891d-fa7b0d3dc6aa"/>
        <s v="eceb9505-dbc3-4e56-88a1-7945ca6d3e06"/>
        <s v="840fbb0b-a5e3-47af-871d-ade6432255ee"/>
        <s v="1480f037-d39a-4bb0-962b-68d41880fa4b"/>
        <s v="19365f61-f484-478d-9bc9-e8895567a84c"/>
        <s v="277e5c18-0877-4fe6-b7d8-70b678ac8704"/>
        <s v="ce03a34d-a022-4fee-843f-b606e8b7e2da"/>
        <s v="002f9cc4-096b-4aff-b5b7-751f497e28aa"/>
        <s v="f1c51dda-2828-4370-9672-ebc7606e8502"/>
        <s v="291a58af-259a-4b28-b22b-89748c5c192f"/>
        <s v="28b299bc-ebbe-4a41-8781-e11f2cb38568"/>
        <s v="f172840f-3e19-40ba-ae09-ccfba3dee81f"/>
        <s v="540988e7-9fed-4060-af23-d4afe0ff58a5"/>
        <s v="f5657d00-7ba0-4f58-861a-e8d1f212cc6f"/>
        <s v="65ea29d1-adae-4e45-a036-e74be34d7804"/>
        <s v="a2bb6283-3d83-4d7c-b9f7-06d40b4ea16d"/>
        <s v="f75a7e6f-2b86-4694-941d-1a814815642c"/>
        <s v="29e316ad-39dd-4477-9a22-0eb23cf9d1fe"/>
        <s v="5d005716-7680-491b-abb6-204ee0db22d3"/>
        <s v="62f25291-2353-4455-90bc-cb66e0631450"/>
        <s v="2982100c-0372-4e33-8550-7d2b909e7f78"/>
        <s v="afdb4e0b-0171-4f1d-956a-2f20ee283bb7"/>
        <s v="2c05b870-cd34-4cd7-b7ed-75b463d0fccd"/>
        <s v="06714938-04fe-473d-a61c-ec19fff83cec"/>
        <s v="00f24603-8295-4fe0-92c5-53b5d2f74429"/>
        <s v="ecf150e6-c6f1-49c7-8c15-a57509c64c1d"/>
        <s v="25cf51c4-9c89-4296-92b0-35e01ca5a2f5"/>
        <s v="c96ef1a5-ac70-4464-a734-f9bbc7405255"/>
        <s v="6b325d48-06c4-4109-89a6-e611613f718d"/>
        <s v="afb9f3a8-e9e7-41ba-916b-51ee6faefeda"/>
        <s v="ec2b5e21-3f7a-48e0-b611-8bd6553a773a"/>
        <s v="37773772-829f-47ba-9d30-db822348e1b7"/>
        <s v="213a6ad8-12b3-4a24-a67f-ceeb8889832c"/>
        <s v="59c07423-a89f-4916-90ec-83746862dc24"/>
        <s v="e54ce0de-6e79-4a92-98b7-f1a2f74f1905"/>
        <s v="61bafa39-789c-4c72-bee2-9e686fa00319"/>
        <s v="3d7439ee-6514-4471-aa95-1570399bcb79"/>
        <s v="eba08424-65a5-4c1f-bb2e-cfc5a53011a2"/>
        <s v="409b3c5b-d5e8-489c-91ab-249d94d50a99"/>
        <s v="86ce563d-e291-45e1-869f-c269ff7acd86"/>
        <s v="9aa1ecd6-058f-48d5-8ad6-cc515f2e1048"/>
        <s v="e072caae-797c-47bf-8793-85209c921e7f"/>
        <s v="9c684df1-0a51-4e87-86ba-68553cad275a"/>
        <s v="6409df32-cc4e-46da-9e09-89b952526d45"/>
        <s v="88d3281a-1b4e-4428-a048-3bb2f6d080c4"/>
        <s v="24eac3f4-0c78-42f9-9a41-8b24e0acf9ff"/>
        <s v="c48ae374-06dc-4579-a476-40a1b6a659ef"/>
        <s v="f9fb4010-dec7-42b7-bb22-fa316bc9e970"/>
        <s v="1ad566c3-ecb0-4f48-aed6-3ea464a2bc48"/>
        <s v="7644d183-9aab-422d-b5ef-8aabb693f4ef"/>
        <s v="796f9881-572a-4b53-ab6b-7b4229502326"/>
        <s v="eb1d1061-9717-4a6e-a8b4-d5b9693d993c"/>
        <s v="c30759a4-48a1-43ab-9d55-daaffefc5b4a"/>
        <s v="5e47c2a0-eef6-4139-9ccd-d34080e97f74"/>
        <s v="5b8d11ba-a0ec-4e5a-a487-8d19586d7f41"/>
        <s v="84caa7c8-a159-4b4f-b901-726fc421325a"/>
        <s v="e08c28eb-3218-4fbf-8dcc-bbedc0e0d55b"/>
        <s v="b934718f-2d49-4ca2-81f4-317df5141524"/>
        <s v="614f1ddc-4bc9-42ce-931d-a6ac956c2129"/>
        <s v="8d2ad974-4a86-4655-8a9d-499ca2698c2d"/>
        <s v="69199a8a-aea6-4315-88ef-444a6e63ffa4"/>
        <s v="354af1bd-ba56-42f7-a00a-a45e44e1b08c"/>
        <s v="1c3c8d35-21d4-4b7e-a258-7c8958ccf9b4"/>
        <s v="07fe6a4e-2a6f-4e47-9b61-f92b9cf600ec"/>
        <s v="76a933cf-65fd-4f69-93a2-5c9b6e3a52d7"/>
        <s v="b5004950-b5f5-4316-a453-35cc137fcd2b"/>
        <s v="6ce8d7dc-c71d-42d6-93ec-5718ae4a741a"/>
        <s v="2367ad9e-8dcd-4d64-b9e8-e4ee8b7f6d7a"/>
        <s v="2a1ace85-351c-4aac-a728-ec952b52dab1"/>
        <s v="22b3ce34-867a-4ac9-879b-e4e53a6e8f12"/>
        <s v="e65d1c73-5b62-47c9-be38-01afd1a8d7b0"/>
        <s v="49bcf4a8-bc62-44a8-9f93-e802e1c25cd1"/>
        <s v="af273f40-55cd-472e-8b10-cf68b7691470"/>
        <s v="ea045534-f679-4fd3-8d74-afec1e548a7c"/>
        <s v="c5fee487-68ab-4281-968d-2bc2dac7c336"/>
        <s v="2887a3a9-e633-47c3-8303-42c7dcfbde0a"/>
        <s v="f7f1bb27-8066-4563-a0c3-0ce957ac59f2"/>
        <s v="25033a3e-b1f5-47d0-887b-4cca54f02dc4"/>
        <s v="bd637b3a-fc0b-4519-a04a-a4a2e983cc1d"/>
        <s v="3c0a94de-4e24-4cf7-8e33-dcabbe684e2b"/>
        <s v="60e9bd79-fe1c-41e5-aa31-e67ae1680205"/>
        <s v="78a55d6b-f2de-400f-a3e8-695158b5f052"/>
        <s v="68fc642a-f6f2-4926-8e60-678b82f4b48a"/>
        <s v="1903b45f-d01c-4935-a803-2f7efef06b04"/>
        <s v="25cc2478-276d-4e19-b924-e06aaef5baef"/>
        <s v="a25130a8-9870-4707-955f-bc3301424249"/>
        <s v="e1a9344e-ef7f-4bc8-bb24-cba4b4577bf7"/>
        <s v="c77f0b62-b264-49f7-9b58-286c8461f840"/>
        <s v="98856c7f-3475-4526-b2b4-c281a5b91ee8"/>
        <s v="83719849-fb52-44d9-9a66-d48da4f0d9c2"/>
        <s v="bb5f15c1-b044-4ebb-8445-17ef1c769e1f"/>
        <s v="15db4487-6038-43f3-ab2b-cfda9d4319b5"/>
        <s v="1d8ac1a9-02af-4382-8938-ad77cb18d6a4"/>
        <s v="b8f35c26-d13e-439c-9cb6-f1f0e4751694"/>
        <s v="ad0cabfc-1baf-41f1-917f-a07e7b0f78c1"/>
        <s v="b259a6a0-9591-4900-9e7c-faad73df770a"/>
        <s v="cfe4fb66-7c8d-4368-aaa2-843940fe81ec"/>
        <s v="28b74f3d-ec38-46bc-ba8d-1c00c6962905"/>
        <s v="e5098f9a-d3c6-4e05-8d37-aebb8fc7f7e3"/>
        <s v="820bc51d-db3a-4fa6-87d0-286213f36e53"/>
        <s v="06999e1e-2b02-437e-a2cd-159aebba80d2"/>
        <s v="2ab465e9-d97d-4b38-a4a9-8266d3d6362b"/>
        <s v="68adc28f-8463-416a-be65-6befe0efc989"/>
        <s v="702cebbe-3544-4189-a920-46339bb68cd2"/>
        <s v="439ddd74-67af-46d9-af04-ef81b5481bf2"/>
        <s v="eb6ec9e0-225f-4457-9662-5aa1056b565f"/>
        <s v="70e2ee61-e29b-44d7-abdc-9c10636241c3"/>
        <s v="60032713-ea8f-423d-8dbc-321b90a00ee1"/>
        <s v="a4e0ee5b-1638-425c-8d66-65d8edf2a720"/>
        <s v="3bac2660-55a3-4129-a7ba-6b1a96954911"/>
        <s v="0a02da60-749d-4601-9f98-377981bd5336"/>
        <s v="44c8fd00-1a0f-4218-9eb8-83257add8fed"/>
        <s v="8d00b7b2-7d82-4ccf-81eb-88e5d549faad"/>
        <s v="43eb280e-7901-4990-a4e3-22cfa51de78b"/>
        <s v="5d443821-8a7f-43ae-bad2-3fbf2e573864"/>
        <s v="9bde299d-da28-4b7a-8d6d-99a628d798b4"/>
        <s v="74f8c57b-24c5-42ca-aab3-c4d8d4e4004b"/>
        <s v="7a658abe-1188-4fa1-b660-ffd5119fc1c4"/>
        <s v="68f49b51-f3fa-4613-90ed-41f464aba3f6"/>
        <s v="7b777bf2-43f9-4cbd-979d-221d8e5f37fa"/>
        <s v="4bf41e10-1c62-4f82-9081-3d923aca43f2"/>
        <s v="181a218e-cfd6-4560-9c05-c1f3241d3e27"/>
        <s v="0e8472a7-dd33-4379-a88f-58c1237d7b90"/>
        <s v="96248805-2305-46d3-aa61-353ad2b00078"/>
        <s v="0876daaa-01ce-4fc6-b2d1-16fe8f08963c"/>
        <s v="b325442c-8eeb-4fd8-a783-b0c3dcae667e"/>
        <s v="b6d066f2-7d87-4566-9a0a-80bec15dfcfc"/>
        <s v="79140a61-ee65-4feb-9b67-4518b0bf7f14"/>
        <s v="c7afae8f-dfec-42ae-98e7-60bf8f3e64f4"/>
        <s v="af8c96a9-18f7-4499-9f61-c53457d1d37c"/>
        <s v="7f6bf51b-3a05-40b7-bddf-55b2015128db"/>
        <s v="4642cddb-4fbe-4aae-bbf7-0946d6ada066"/>
        <s v="5ad8712d-7ee1-42a3-824b-fe48398071b1"/>
        <s v="ed3032ed-824c-4948-b474-b1a4f2684ee1"/>
        <s v="4e051eea-13d7-4846-9777-6c3a57435d9c"/>
        <s v="bd2cdb8d-39eb-4a32-ac1b-681192dbd613"/>
        <s v="dc58ea6a-6193-4b51-b6ac-a9b45e146c30"/>
        <s v="49b3fe66-3b4c-4730-a53d-f737c2185e77"/>
        <s v="c6b7e7cb-be0d-44ed-b306-1611ef96a214"/>
        <s v="c814ed3c-e166-46ab-a8f6-14bd7b2aa677"/>
        <s v="9cc753ad-6264-490f-886c-0adf5bf26ec8"/>
        <s v="1e94eb4b-c74f-43ca-94c6-67bb211e55c3"/>
        <s v="de5fe0ee-8010-4500-9ae5-253066b48fc6"/>
        <s v="b594b706-a7fb-481e-ba88-a4ab78916712"/>
        <s v="5bd71dc6-ea75-434d-a1d5-34025fba6dc2"/>
        <s v="f902d6c0-5bf5-4279-8704-768e6e927501"/>
        <s v="b6e0eac2-c42b-44c4-846f-5825669ff1b9"/>
        <s v="1af4321a-ddd3-4779-8879-996dfe38f4eb"/>
        <s v="1ee1723b-4a96-46a4-a752-41027acf6bcc"/>
        <s v="eed15368-5811-4722-a77d-fc7b722c353d"/>
        <s v="edfda291-2fdb-4c0d-be4a-565e3e581dd5"/>
        <s v="3a8be161-7fd2-470a-968d-6f3ef4b445aa"/>
        <s v="f9adf8c5-6247-440d-ae5c-eb3d1c275035"/>
        <s v="7636efd9-8376-4fa8-b6fe-579f6382f3b5"/>
        <s v="ffb59512-fa04-4706-af8d-ff9bfae3fcee"/>
        <s v="387cdf02-9e3b-4f04-9418-864590de6fba"/>
        <s v="4fab2ad8-8091-421d-a637-c09facf606fc"/>
        <s v="849648e8-5084-440f-bb8f-5fc77c96eefa"/>
        <s v="78c5a976-1786-42e8-806b-8fd6af157ed9"/>
        <s v="f325f875-e417-4ba3-a4ee-c62b51306e5c"/>
        <s v="6e6d086c-f7b3-4a86-921d-bc093a357442"/>
        <s v="c57842a9-934c-472a-8c72-fe13fbf28c1c"/>
        <s v="437249fd-17ee-4fe6-a810-91fe0a5a0322"/>
        <s v="2db6de21-53a9-4c5d-b9b5-c70e3346f7c6"/>
        <s v="b2daa1f6-cc16-414a-ae4a-6e781cf4a8ed"/>
        <s v="f3f05323-3bd5-48a2-873c-36ba5d393bf9"/>
        <s v="88da091b-61f6-4877-8212-585b0b2f8580"/>
        <s v="d24e3104-1dd2-4234-a131-24bd01275a63"/>
        <s v="e998952c-ef58-451f-9b1a-e0199aca0c4a"/>
        <s v="7751b3fa-bdb6-4ff3-94e1-67063309a536"/>
        <s v="852d2ee5-0061-4d30-9907-3286329cd43a"/>
        <s v="6a4ace0e-d89a-4500-9f13-d2fbe583847f"/>
        <s v="ed0d0418-2d58-4ce9-8974-5cd7111868f8"/>
        <s v="6a594b07-eda6-4806-ba19-607d3bfb255e"/>
        <s v="00183cfe-ceb0-4220-b984-f33f61c61ae4"/>
        <s v="f9df7275-6199-4015-b5c9-599f6f9179cf"/>
        <s v="f45c8840-9da2-4338-8a8b-c856c3edd9b7"/>
        <s v="58d97f4a-9533-4356-874f-3be044f20133"/>
        <s v="565af699-d3bb-43d7-9e12-425cb42fb357"/>
        <s v="2266a107-a408-401f-b433-97f1ad5b9bb2"/>
        <s v="40709bd4-1790-46b7-845c-21e7988d0e4a"/>
        <s v="1a7e256d-b6ff-412c-9a6f-0c9af1f7e90f"/>
        <s v="24536074-b13d-4531-862d-7f7a45dae1f3"/>
        <s v="22ca9fe8-a8aa-4d13-85a9-18d19eede43c"/>
        <s v="f9d2b2de-92bb-4701-b503-c56e61002dbd"/>
        <s v="6bd1f046-339f-4b69-91cd-2c07a8f78b61"/>
        <s v="8f41d3e4-1ece-45e5-8018-41f4820d15c6"/>
        <s v="79801aaa-e93b-4418-b170-b1ed1b040be3"/>
        <s v="729bd820-e4ad-44e2-824d-9e961fe253b0"/>
        <s v="8c3af69e-7474-4f6f-adbd-b6e57844c2ac"/>
        <s v="41229d75-6a8d-4e84-a0fe-652b56fe2301"/>
        <s v="816480fa-90a2-48e1-941b-d89660924d2b"/>
        <s v="dcff697d-d26d-428d-91f1-5ee755e9718e"/>
        <s v="59de5319-3f9b-4cfc-b42c-59053bcab3ea"/>
        <s v="69083bd6-ef61-4cac-8674-d2447b056d02"/>
        <s v="e355c369-b931-426d-b26e-8017061f5679"/>
        <s v="f5652d00-67a4-4b26-8d6e-44f20189a5d9"/>
        <s v="3956fba9-7232-4dc9-8677-81b2c3a31607"/>
        <s v="7a2be049-40d2-416f-bdb6-12f46df2fc82"/>
        <s v="70df67b9-3a6f-46fa-a418-13ef799fde33"/>
        <s v="7c76a592-a73e-4f3b-9c27-761d4894d9fc"/>
        <s v="26184c80-edf6-41e0-ae8f-0e0999755cb9"/>
        <s v="af3b5a91-85ba-4545-94e2-6a5bf807cdd9"/>
        <s v="eec9fa67-4cc6-42fc-b006-ff85166a1a98"/>
        <s v="1f6ceec1-ac54-4740-a182-e35f848edc98"/>
        <s v="57c2747f-27b5-4ee7-8f1a-6c44f239fbb0"/>
        <s v="9f2d5db8-deba-489f-959d-e20409642b31"/>
        <s v="e668bb6e-c408-443f-a90d-07e4ce1f4081"/>
        <s v="3008a519-ad83-4951-a3ea-a00577f63854"/>
        <s v="2ae201c0-312a-4c3c-bf00-625769560c06"/>
        <s v="f2b72bd2-c97b-42af-8c10-ef0164119d38"/>
        <s v="56c6544d-f60c-4881-85ac-7520cd4668fe"/>
        <s v="d46e34aa-ae9d-4797-8284-e0bee33e270a"/>
        <s v="53fb2ed1-b953-4807-b009-61c3855a7d8d"/>
        <s v="8af37d72-ec4f-4490-84ea-f9432ee66e21"/>
        <s v="952b750d-9830-449d-99ef-bb41b66b6b0b"/>
        <s v="b050eb01-a22f-4818-a6f3-32446f1d5baf"/>
        <s v="a9c7ae92-e61b-4dc6-be52-5e4f9e203161"/>
        <s v="991ab513-369f-4284-adc6-41cd921bc646"/>
        <s v="7cddb4cc-3e33-4f35-886c-976870fe3cfc"/>
        <s v="5153f737-d7f1-4ec2-9a9d-add2e7aad070"/>
        <s v="0021b632-3246-47d9-bb29-66398e4a295d"/>
        <s v="3e2b6653-2258-4df3-8ff0-952a0b2591c4"/>
        <s v="9c272c51-ac98-4368-9fc8-b87a7176d181"/>
        <s v="1beaf9cf-af3c-49d0-a92c-3c3e3957f082"/>
        <s v="840658d1-c1da-4d39-b735-0626dca8b6fd"/>
        <s v="a2521f50-a54e-4c8f-acb3-077a6cef5e55"/>
        <s v="aedab7b5-e2aa-45a7-8951-03edfd05a5f5"/>
        <s v="31307e46-af79-4546-be51-68dc5690f74d"/>
        <s v="d7de701d-8eaf-4323-9f65-380029c836e0"/>
        <s v="640ca20c-702a-4b67-b7ae-77585b45cf5a"/>
        <s v="51497435-a9c9-424e-bd72-3837705bacc2"/>
        <s v="113c1836-77f4-431b-bde9-d47dd89331ac"/>
        <s v="1d010478-c110-412c-b843-1ed6258694b6"/>
        <s v="efb80c63-f42f-438f-a7e0-8e2fc06bad38"/>
        <s v="b52f6009-76c0-4651-b361-c49764e0dab3"/>
        <s v="5e2d2454-e462-42e7-b5c3-de958a647b9f"/>
        <s v="67f8ab57-0572-4bb5-8bee-2ebdb44788bd"/>
        <s v="698eecba-da98-4a57-966a-dfc43513198c"/>
        <s v="ca6cb87c-dfb8-4708-91d2-125a95e19cb6"/>
        <s v="a2251838-35e1-492e-8a74-bec56951743e"/>
        <s v="ab341860-fefd-420b-b5ef-aa99010f5ddf"/>
        <s v="e80bb7eb-a499-49cf-87e5-1bbc22e9e671"/>
        <s v="8b3e00e7-6151-487e-8f02-7fe87d5d9031"/>
        <s v="9ad73702-140a-442e-90e8-57f88986148f"/>
        <s v="c095e099-7e24-4205-bb00-d206f8542953"/>
        <s v="9df497f1-6b5a-474d-b436-7eaa03ea038f"/>
        <s v="156e3ae5-4fe4-4735-9c29-b6dac1d7fbe9"/>
        <s v="cef980ce-c471-421a-85f2-b928beb9c9e2"/>
        <s v="dd9539fc-f7cd-4b75-9d26-3e763d3703f8"/>
        <s v="f555a628-dd15-4fb4-9680-51b70723b796"/>
        <s v="773b8350-2743-40df-9e15-428a833cf90f"/>
        <s v="72789d75-97f0-4fcf-9c35-1dc942260a44"/>
        <s v="fb2323e7-d6a2-4379-a0c6-a8a74748f7ea"/>
        <s v="bef874d7-6251-474d-a1f9-c40838330558"/>
        <s v="3a724b9f-56fb-4c72-ad6a-1bfc81be81f4"/>
        <s v="ef82c4d6-438d-48b1-9719-64f8d2fb05ca"/>
        <s v="50c6fa8c-27a0-408c-8b44-361f16c7354a"/>
        <s v="7c2b940d-9045-4445-958c-d60ea07f7f47"/>
        <s v="86fe0ded-fe38-484b-b489-362c10345193"/>
        <s v="62b22fd5-51c6-42e4-af48-744f7abc9f0b"/>
        <s v="1dd95d4c-0637-4dca-9f46-30adbaaa6300"/>
        <s v="ef89c2e7-aa17-4666-9b6e-83a96f2af3b2"/>
        <s v="2449213a-c2fa-4184-a232-4672f64e8f4a"/>
        <s v="b49b93d5-1e70-4e19-87f7-9ee0e299cb48"/>
        <s v="a11b26b0-0823-4adf-bf75-12c56e05724d"/>
        <s v="1d8cca3b-6261-4790-83a0-61c445a16970"/>
        <s v="9dbdc6ff-5fad-4a0d-8aa8-3cd65804a881"/>
        <s v="bebbe60d-3085-4e6d-a31c-c5d2cd96a6a1"/>
        <s v="0f424ffa-8abb-472c-8aae-0c3ad31224e0"/>
        <s v="03927935-8d5f-42c0-83f0-ba7756b8002a"/>
        <s v="d1cae193-7ed6-4f4e-a875-176629530a13"/>
        <s v="4202faf9-dceb-4f56-a31c-a36b059ebb2e"/>
        <s v="feeac13d-5813-42c2-a33e-383454e27ea6"/>
        <s v="8fad725d-9d0b-4f5e-996d-362dfec24805"/>
        <s v="c20166e3-ca68-4a98-b48e-f9a86aeb5a32"/>
        <s v="1aac3ca1-920c-404e-8063-d5251152797e"/>
        <s v="ffbdfd47-dc79-42f0-9338-94b3854ca896"/>
        <s v="08df6b19-7c3a-4037-a0d5-c16e961139cf"/>
        <s v="393031a6-c82a-4c15-9733-f669852d8585"/>
        <s v="d61a43f2-8ecb-4971-98c8-ece658ea0417"/>
        <s v="2d5c6415-fedc-48f9-b78b-094cb5178761"/>
        <s v="3aeb5bc0-f63d-407c-a9d2-1bf8b1954990"/>
        <s v="b2c92c12-9bd9-4220-b38f-4acf66270136"/>
        <s v="28702bb1-5931-49b4-b061-46ffbecba4c8"/>
        <s v="e5039055-f90b-4724-b883-a8ea44e8a604"/>
        <s v="8c1a612b-fff9-4f34-b94d-9109593985b5"/>
        <s v="773a13fb-3750-4d77-b367-2754da2e6e6c"/>
        <s v="20e30a4d-fbce-4cd0-9050-f32cd4062cce"/>
        <s v="c6b4195c-aa19-4f26-8fa4-1d2246ddb0ac"/>
        <s v="a908923b-1551-4819-801d-ebf6c503ccb5"/>
        <s v="df4a518a-4ef0-4a9b-93fd-2516d1bfbaba"/>
        <s v="52c1b3c7-f33c-4233-8833-b07eb4d56ffc"/>
        <s v="039d60ba-9c99-4735-95a6-52a708fce7af"/>
        <s v="2a9e9a38-1d5a-474c-8da8-40fd4adb0798"/>
        <s v="338f8437-faa2-4bad-867a-6bdfb63c1dd8"/>
        <s v="dd7516f5-58aa-4383-8dff-06d28340fed5"/>
        <s v="80b2db0c-6a24-45cf-96c2-b4aa72f78920"/>
        <s v="1f69cd43-68bf-4f7e-94dc-2301882ab925"/>
        <s v="76847398-fabb-46b6-97f4-3de414934a25"/>
        <s v="4bebcf4f-2c94-451d-92fa-3935ff283550"/>
        <s v="ac73189c-6fdc-4e00-a0d9-da583db4cb81"/>
        <s v="05dd1ef0-0806-48c9-8967-49fbb2e02961"/>
        <s v="d87d3afc-a370-4e8a-821a-c45bd5e32aef"/>
        <s v="f9d0a163-def1-474a-9380-1f2544f06c4e"/>
        <s v="fa4b0bc6-5121-431f-9028-361fa94501d7"/>
        <s v="49954cf1-faaf-400c-a74b-3d208c3fa29f"/>
        <s v="3fb230b2-b55d-4442-8884-e6660c661a49"/>
        <s v="84403b37-b13b-4d4e-a368-f7d2d9732b86"/>
        <s v="0e5bc44c-98de-4bf6-8273-4d1c23d83f22"/>
        <s v="47e77e2b-6b29-4a13-a37c-3644c9345ce7"/>
        <s v="f367dbe2-40e3-469f-b9b6-6d71951a0518"/>
        <s v="88653e42-cefe-43ec-a918-4b9f501049e2"/>
        <s v="b550f221-72e5-4360-a3ae-b12e7d4fbfff"/>
        <s v="2b66b1c0-5fdd-4329-ac74-9cf41f7550bc"/>
        <s v="b4ca0142-3b23-4fd8-8d20-f686854df9b6"/>
        <s v="07d5e121-623a-45ae-ba31-a27cced4dd7c"/>
        <s v="1932263c-4eec-45b0-94c3-0b503d0daad0"/>
        <s v="20f12d46-e775-427e-aec0-12f0d3100ac5"/>
        <s v="e4bd7d57-03e3-425b-b00b-1433f5d61476"/>
        <s v="69f5a741-8686-4f29-9cb7-6bb9c0ff34b4"/>
        <s v="7ff5101d-3f1c-431b-86ff-76d11fe32b56"/>
        <s v="6e771359-677a-4eb7-84bf-c434481ce3f9"/>
        <s v="ed4879e7-efd1-44ee-b287-c4407881307d"/>
        <s v="e30d04fd-b58c-4e9f-aa0b-20400ef05b6f"/>
        <s v="33d4a096-5b78-41ea-8634-3347daa6b26a"/>
        <s v="cc869dea-38a7-4c54-a6b1-caba3fccb2c1"/>
        <s v="2fb01074-2532-4fd3-89f3-5bf84d03cbdd"/>
        <s v="8b4eb003-401a-4e8a-bba0-fd458d3ac4b9"/>
        <s v="dd3b8d93-3b8d-4d5b-ae66-5ecb06f9f4e6"/>
        <s v="ecdd001e-6ad8-464d-b8c5-ee78d214f218"/>
        <s v="2826ef27-f190-4b53-b489-f5c7e22f6e82"/>
        <s v="20fa5cd3-8f5a-4ade-821d-3ead3e4c1362"/>
        <s v="ae63ad3a-94d7-4681-9551-1e14e18d99ce"/>
        <s v="8625dcb0-3f79-4d31-beb7-78d62b021118"/>
        <s v="cc713ba6-4ca4-4e01-8621-8f7ffcd4fb19"/>
        <s v="b57a5c03-cb85-4da6-9b01-98ffde21c855"/>
        <s v="75fc1b10-b8d1-4539-8562-8912bdf2b5a1"/>
        <s v="33251c76-d8ef-45c9-a7a2-d2d0ca3c4050"/>
        <s v="618a4763-2af5-45a3-a97b-85380ff73f25"/>
        <s v="6282c33d-3665-46a5-a34d-a412816a5ea8"/>
        <s v="1a608f0d-7e41-42ad-86b0-915a8880f9fd"/>
        <s v="88662aba-1601-4cc6-9b16-0641207417e7"/>
        <s v="e4d08ebe-d335-414c-a62c-e6a302fbad7c"/>
        <s v="bf33551d-f629-4535-82b3-3be214ed05bd"/>
        <s v="65578e91-bee5-464d-be37-355efbdc678a"/>
        <s v="fc145cfe-469a-4289-ac91-c01e734c5192"/>
        <s v="a96e2bf4-5865-43b8-b915-486569967b5c"/>
        <s v="139e5ca2-b9e7-4780-821c-f26265739938"/>
        <s v="96062930-2860-4311-8315-d334e47c98ea"/>
        <s v="dba620f1-35bb-4db0-bda3-14883e1fa8ac"/>
        <s v="0dbcad25-daac-43a3-82f8-9ef40b9bcb7e"/>
        <s v="b17078ee-1129-40f2-8f21-ae6a82e2f424"/>
        <s v="b5cbb690-735b-4a80-bfbd-aeed723dc8f5"/>
        <s v="a9584453-c2ea-4172-a5a1-5243c7281f15"/>
        <s v="e15093b0-a07a-4b89-998d-f20b226dded0"/>
        <s v="992e7dea-0374-4263-8a06-09aa827acd0d"/>
        <s v="5ba48aa0-aab6-441b-99e8-484c25d203e3"/>
        <s v="4c1f59df-f6b4-460b-9466-c7725df5672b"/>
        <s v="40e5e8fa-b033-4368-a443-a7378072b635"/>
        <s v="ce91e0c9-7abd-4241-85c2-b1052234c40f"/>
        <s v="dafd518d-d55f-4e0e-af6b-e029bbef627f"/>
        <s v="56e16c2b-659b-4dcb-9bca-e27d331978eb"/>
        <s v="23aa9e67-70bc-4ec1-8d29-d77a793910e6"/>
        <s v="f0041e32-4bc0-4de3-9197-b56179b68b95"/>
        <s v="54f5edf7-e9bf-49f4-b373-9067cf085288"/>
        <s v="9a642c24-a34a-4c3e-9a68-fa2a59581c94"/>
        <s v="66b9b21b-9429-4726-a557-338d6175f16a"/>
        <s v="4c43745b-8063-4ef2-a534-28bbb20ed719"/>
        <s v="9090d244-c1d4-4db0-909b-f39cacb1691c"/>
        <s v="6e6b3eba-3055-484e-bc38-bfd6d7e23908"/>
        <s v="2adb6a67-83ad-4758-83e1-592e3765002d"/>
        <s v="98ecdbc6-cec7-490b-a3e8-6d638278e1e5"/>
        <s v="881f93bd-e669-46b6-81af-b76b84733c88"/>
        <s v="d610de6d-819d-49b4-a949-2308c710fab3"/>
        <s v="eac503ff-79d1-4233-a5c0-7ecfd38a1bdb"/>
        <s v="4d390362-6ef4-46b4-824c-222f577aa515"/>
        <s v="86d77094-a689-4303-a807-092d74ca0c56"/>
        <s v="31bf3b36-bac1-44b5-8a19-e5a80d5a2ad3"/>
        <s v="b0fde8c9-7575-417c-81ca-37f5f7de1a61"/>
        <s v="98e16bc0-3385-49c7-84ad-e7b7119b0fb4"/>
        <s v="fa9f941a-41a0-44be-9b0d-ff111a6c3c25"/>
        <s v="d35169bc-0044-4690-b17a-7c84cb3d7ee7"/>
        <s v="e55b88ff-f086-4962-b771-f867dfa2e52b"/>
        <s v="e83f3278-2c70-4901-9e3f-4f152f5c5cbe"/>
        <s v="9c017e5d-5c41-4fb5-a94a-29d3f73c3dce"/>
        <s v="acac00dc-024e-4609-8486-4d26cfd09276"/>
        <s v="054961d6-0438-43d4-a81b-3fe3fda48455"/>
        <s v="2adfd824-edae-4c39-aa9e-062a9b89bf0d"/>
        <s v="f65a1a2a-4f76-4aac-9ec2-2e0cd4cd82fa"/>
        <s v="d2bddb3b-649e-4503-bc73-7aead273dcbe"/>
        <s v="dbb59fc2-5cff-496e-bd03-c81f7ff35029"/>
        <s v="6e935faf-9502-41d5-967a-d0895acecdbf"/>
        <s v="0654f465-b311-49c4-9d86-fd12c8359b91"/>
        <s v="98082cf3-03a7-49aa-ac14-af79c4a0c1cd"/>
        <s v="bd05bc2c-5a50-4a98-85c5-5e39881d0ee1"/>
        <s v="624aadae-ebbc-41f6-9edf-f24b3567c813"/>
        <s v="cbae0e93-2f39-4045-91bb-91c132620328"/>
        <s v="26b18865-a878-4876-bf0d-f2ca2dc6c2ac"/>
        <s v="685e406b-8171-41eb-9766-c1439c9afcff"/>
        <s v="e919b5aa-f0c9-4bea-a0a1-f43f9638a3c7"/>
        <s v="00b425aa-e7eb-433c-ba08-79fbdc7843b3"/>
        <s v="9abf3e69-e5bc-47ed-afa6-80100ddd49b7"/>
        <s v="a5f3aa63-a5cb-4d9f-a579-49170806989a"/>
        <s v="15d0db43-80a1-4176-a2b3-4047ee4b0498"/>
        <s v="a20847d8-54ed-4b3b-8f70-70e66b58996c"/>
        <s v="d38b8f29-ed0c-4245-a053-6c6cea8713d2"/>
        <s v="0fbc0318-b6e4-416e-b066-8cc99e7f0271"/>
        <s v="50ed6af2-235f-4be1-b8b5-5fb556d1079c"/>
        <s v="bf3cfe56-a832-49e9-bae4-6529fa9fcece"/>
        <s v="7b33241e-fa22-45d7-bc6d-8ae1463e4336"/>
        <s v="4502d7f8-54a1-496c-a9ab-fb0d9be57401"/>
        <s v="756aa13d-13f1-484a-a55d-c720e5540022"/>
        <s v="e5e6190b-28da-4b89-8130-8a09cddd03bb"/>
        <s v="8f15c995-424a-4898-832e-9e1e1b908d6d"/>
        <s v="72a2761a-9ba6-4e98-a791-40e0b6fece9a"/>
        <s v="9b83a437-28b7-405b-abc2-ded76bd8e65f"/>
        <s v="205bf9e7-c42b-43fa-ab4d-e9deec7b009c"/>
        <s v="f02dd043-d01a-4ef6-a829-4aabafaf2b68"/>
        <s v="95a37efe-1cc7-42b6-899d-5f9ec634effd"/>
        <s v="2f9f5bf9-d6b6-45d0-9c87-284dc5fa8ac9"/>
        <s v="4b511edb-7b76-4615-b6b1-465dbf2b6442"/>
        <s v="af405e52-199a-4949-ba9d-82b8afbae6c3"/>
        <s v="46b01630-4321-4bf4-acff-30a0c3ac232c"/>
        <s v="5b0eec4b-a2a1-4a45-9c52-d51ec8fe0b2d"/>
        <s v="cd43cfeb-8938-4b90-9341-45328252f723"/>
        <s v="9b9a9bf5-0a78-491f-8211-550313218ef7"/>
        <s v="f4105d94-c689-437b-b945-23fe03cb8f1e"/>
        <s v="68795e63-1f74-4e70-a36b-3a5f23746ddd"/>
        <s v="7b38a089-fa4a-4dec-88a8-6e3a62937980"/>
        <s v="a1c56342-5033-45a4-86ec-9ad0e2cbef40"/>
        <s v="b3f175d0-15c7-4820-a3f3-e5aed1de4fa8"/>
        <s v="bfdf8a9e-9446-4493-a4d6-ce54645cc176"/>
        <s v="3590a2e5-0c78-4f2f-b9a1-1816fc7aad95"/>
        <s v="e70a26e9-eb6b-46ec-aa3a-5bf369946c6d"/>
        <s v="c83235cc-995d-467b-8c13-33ce07117e78"/>
        <s v="bb2c2c42-8f6d-4117-a1ea-a1fa663eab2b"/>
        <s v="679bcce2-681d-40de-8c15-514db40eb501"/>
        <s v="d5562dab-f4a9-44e3-ba4f-4535e45d8903"/>
        <s v="be216476-0e05-46b9-8bdd-4b9dfc2cd5c7"/>
        <s v="8adab689-e0dd-4541-b218-9a39d63a7486"/>
        <s v="e6e4ac85-f101-45fd-8f81-598725394778"/>
        <s v="96ab64d2-3512-4906-a4ed-017b208a888e"/>
        <s v="16db36e4-d4ae-4486-ab19-4984f49eb5a6"/>
        <s v="44933c86-49ad-4e95-b837-e5069398dbd6"/>
        <s v="af44eaeb-6734-462f-b62d-a54040b1f64d"/>
        <s v="dcbcd86e-a2e8-4f7a-9d6a-f484024d65de"/>
        <s v="c7361a75-c61b-4c77-8602-15be0d326347"/>
        <s v="a3b4e529-02a0-47fc-a04e-e43c11f63e9b"/>
        <s v="240eb6c1-c5cf-455f-a78d-b4f648df480e"/>
        <s v="227400da-81de-4808-82ff-347bd527b331"/>
        <s v="f4098aef-1d50-4ccf-bec0-9878f0344058"/>
        <s v="d20eab0e-bd87-44d8-81a5-0ef1550c54d4"/>
        <s v="548c3ec4-2536-4ca8-966a-45e952c51809"/>
        <s v="160d0b9e-1004-4975-8045-883b940f737e"/>
        <s v="7378e6ca-40fd-4aaa-b504-e26c5f7e07d3"/>
        <s v="7874166b-7c34-46eb-aeaa-ec4854f1a7a3"/>
        <s v="14b3f264-1598-434a-86c5-2c1b8923cba1"/>
        <s v="c6cbb179-6239-430a-b052-5bb650c67350"/>
        <s v="8d20dbea-7ae3-48cf-8ace-37d3673ef518"/>
        <s v="e80d2403-12f3-48a1-84c6-50276d05f2e3"/>
        <s v="664ceba8-a4ef-4def-a4cb-0b4e3825a7e1"/>
        <s v="503a65d5-82ed-45ab-9fde-522dd429e0c9"/>
        <s v="24a703e3-120a-402f-a11a-15c325efc3a9"/>
        <s v="a5005582-6250-49f9-88d1-7e6327e8aeae"/>
        <s v="116febe7-aa0c-4327-9daa-42fc90b15e3d"/>
        <s v="4d7e4449-90b6-4394-8482-36e9863c6992"/>
        <s v="de8e3228-aa64-4f16-b035-50885a2bf7fe"/>
        <s v="976ae5fb-66f1-40a0-ba1a-262bba13834f"/>
        <s v="ab6fc9e7-be72-4448-91b5-ab77d09e1abb"/>
        <s v="832d5e70-777c-4128-9f51-9184e79d4d5f"/>
        <s v="808ea422-c6f6-41d5-bb77-ba5f586076e3"/>
        <s v="c81a58a6-6245-4749-b9a6-edc1099fb91b"/>
        <s v="cae1367a-579e-4b08-9db1-3edffa29559d"/>
        <s v="93098549-3ff0-4579-81c3-df9183278f64"/>
        <s v="5e349e31-1c67-456d-b9ac-d84313b2cc15"/>
        <s v="3e6fdeb2-9e76-4f95-843e-ebcc6f69ed69"/>
        <s v="81ffbbc1-84c8-4b95-8637-da9e8bb62aff"/>
        <s v="91e54b3a-0a4e-4eb7-b97b-8d621c9527d0"/>
        <s v="5da23c06-f146-4080-8a2c-f6a95bd38392"/>
        <s v="7c6d74a8-44ee-4071-9745-ef5a2e0885fc"/>
        <s v="e1dafdd8-ea09-4bb2-8187-715f7baf204d"/>
        <s v="cfa88592-0055-4e42-ab49-6a3bf26ce972"/>
        <s v="a7838837-3c74-4bc2-8504-644fa5dc7c7b"/>
        <s v="b9ab308f-be2b-4272-ba37-e212a78c1cda"/>
        <s v="cd84344b-aef4-42a7-9821-6f30e31b9123"/>
        <s v="b9c3a78f-c8d3-4cee-9370-c51fd8e2ba4c"/>
        <s v="c2de5950-0b2f-42ef-ac09-59b82924b159"/>
        <s v="a8936bd3-86a2-4efb-baf0-cf69bd2098c6"/>
        <s v="d545de36-2a36-4435-ada0-4e30ff741d1c"/>
        <s v="af58e381-49ac-4f36-b202-054f62a10ce2"/>
        <s v="36890df9-7bd3-4c4b-948c-52c8e0f24eb3"/>
        <s v="7448f798-b50a-476c-86fc-cff0e9e4f06c"/>
        <s v="d36d8076-998b-4e1c-9f81-fca3ffb1c2c9"/>
        <s v="9c8fe812-2c64-4b82-abbe-bd4ff9e590e4"/>
        <s v="53e82886-9411-423a-90b4-17eb7111f1d1"/>
        <s v="c4fa9dd1-9160-4261-ae10-7e22fa7199d6"/>
        <s v="24e2e13a-a0e5-4d8c-9d75-24bcdd82016d"/>
        <s v="3cbafcaa-6435-40a0-adf5-e2aa832cb6a7"/>
        <s v="3d992624-4b93-48d9-a188-0ea05e5ecd0a"/>
        <s v="3de674fe-f66b-42a9-8142-452b361c57ab"/>
        <s v="ed825ea8-dda9-402a-964f-bdde895585be"/>
        <s v="749df1ff-f13a-4049-9f3f-a533e28cfc3c"/>
        <s v="9fbd4b9f-5675-4682-996d-66423cf87ff0"/>
        <s v="3e5aed83-5272-4246-a57e-a412a2157489"/>
        <s v="41b72448-c286-4234-9815-80dc24d878a1"/>
        <s v="b4642bad-8959-4298-ac48-1f988ce67bdc"/>
        <s v="e4c80a29-1d5f-4dfc-98b0-b4d7b5e16e19"/>
        <s v="346eba31-7ad5-4f81-b267-8417ec023a99"/>
        <s v="5ba1cdb6-99ae-49de-ae78-33c5b11bb2df"/>
        <s v="cd59bece-b5bc-4583-bfc3-4af19af08b9a"/>
        <s v="e79d1be2-7f29-486c-8a73-0eaa16bb4fb0"/>
        <s v="45ffa36b-63c2-423d-8b32-bc8635d5870d"/>
        <s v="d813a70f-5a9c-40b5-b3b8-87d38301c5b9"/>
        <s v="054f0566-bb1a-48e2-90b9-1e51681e5658"/>
        <s v="326ea68d-f4e3-4152-b12c-d4340b177efd"/>
        <s v="d8ce8d9a-29de-476a-94ce-14b39a9a56bc"/>
        <s v="4037fffa-14b8-417e-b555-5ded8ea5e386"/>
        <s v="7c8765b6-b04a-4620-89ab-05a8806094aa"/>
        <s v="d9371f2a-506e-4fc6-905d-2cb96b76911f"/>
        <s v="b334ebbc-ef6e-4981-be23-bd25ac788719"/>
        <s v="0df099c5-62a7-4dc7-b273-38fcdfa69923"/>
        <s v="e47e3d10-1d72-40fe-aa28-9858dd07edc6"/>
        <s v="28e2f201-fbb2-4429-95ab-42c50f08502e"/>
        <s v="b85f2ec4-9d6f-41b5-8420-e63bc34dfc64"/>
        <s v="8c46e2bc-4f12-40d5-b028-dab48f0c417a"/>
        <s v="ea8760aa-da4d-4a76-aa34-bfb4e62a3fb5"/>
        <s v="f230400a-386b-41c0-9ffe-6c117b51aca6"/>
        <s v="148680de-b9e7-49c6-96f4-8941ad283c0d"/>
        <s v="a0ce5b5f-ca56-4921-b942-2f1efed97f9e"/>
        <s v="047cd56e-fd6c-4364-8191-cbeb175bf448"/>
        <s v="835875c3-9520-49e4-a8fc-f210dac15a07"/>
        <s v="d112460c-bba1-4642-b4a8-bcd354b7e75b"/>
        <s v="e6b0643c-1884-47d8-be9f-9ff698bc2c7a"/>
        <s v="0a8f541d-052b-4051-bc24-1ca590425d14"/>
        <s v="eee05fb7-d2d6-440d-9871-1121c9e8060c"/>
        <s v="d0d65fdd-176b-4101-8fe5-143bbae8d99f"/>
        <s v="b5b46896-6432-4fe8-9ecc-ac5b968d4f41"/>
        <s v="93658891-e460-4a02-85ac-c61220de5de4"/>
        <s v="9c7221e4-ec1a-48a3-ad51-fa2bf13a2ff3"/>
        <s v="e195f855-dd4b-4f7e-b559-ddc787fde43c"/>
        <s v="28a3938c-4ba4-45e2-8718-e12c32a564ff"/>
        <s v="f3807543-9722-4f90-af07-3516e8a14cd3"/>
        <s v="e03cc361-214e-40ee-a30c-2ebd39dc2c06"/>
        <s v="c9d9db15-7efa-4e99-8204-5f8c3a72a669"/>
        <s v="9dbff93f-bc03-4029-a530-53ae4db1762e"/>
        <s v="22e7ee59-1414-4ca8-b455-f1f64574a37e"/>
        <s v="682e4002-a9f1-4f7c-97ea-0686e5f14395"/>
        <s v="32e97761-2e97-4c72-b3c7-3944f95c46f7"/>
        <s v="59f88a69-0466-4d6b-96ba-d500ded1b802"/>
        <s v="ad982a08-7ad0-4668-a892-d63b89aeb616"/>
        <s v="bdc5a588-d0ab-4ea4-815f-47ca204e6817"/>
        <s v="b86137c3-e5ff-47d4-94e1-53ca45568d6d"/>
        <s v="b0f62b9e-da34-4d17-9e31-e1f9b30cc272"/>
        <s v="99605cd1-cab2-4a0a-877e-2817ddd1b251"/>
        <s v="e4ed458b-010a-43f8-b877-87e2bc8a8038"/>
        <s v="bd869312-3506-4af5-92eb-e96b24b7d424"/>
        <s v="6b0efd01-00dd-48b3-acea-35a393d5e33b"/>
        <s v="89de7a2c-7c26-4722-a53d-c9ce208d549b"/>
        <s v="f317930e-5199-4cf1-80d9-a24e0a833038"/>
        <s v="74e56c68-2ca5-40cb-ab78-a4ee385127f1"/>
        <s v="714d85bd-e197-4c14-aa06-9b5b510d115a"/>
        <s v="a3289b58-a62f-45c2-b0cc-8eec3b3fd363"/>
        <s v="b51e3a7b-acdf-4038-867c-cafabbe74e1b"/>
        <s v="7d7a0bfa-598c-4a5c-99b2-b59530519f6a"/>
        <s v="96b09e29-89e4-49df-9a45-a71745ac1564"/>
        <s v="49262a13-37c6-4f46-8860-95c2f812b022"/>
        <s v="2cd9f51a-10c3-43bd-a478-a3998d682a61"/>
        <s v="970a06dc-f444-4dae-9d21-ae7c60252b8d"/>
        <s v="845414a1-185f-4df3-a6d5-eb2ee891f80c"/>
        <s v="dec8633f-b738-48a4-a373-624bda3f22d1"/>
        <s v="24e90316-75f8-4092-aa4f-44cfeafd080b"/>
        <s v="bbca76e0-e56a-47e7-82f8-11266c2c90a7"/>
        <s v="ca92720a-c2e8-4ae2-b1f0-e15089419b16"/>
        <s v="43db0235-1184-48fb-bd33-5a642d79f3f6"/>
        <s v="604c83ca-53b9-4632-b967-522170c43406"/>
        <s v="d5475c92-5825-42e1-8d1f-90ad830a2393"/>
        <s v="b8d08f28-bc50-4aeb-a3d8-5381dcd29168"/>
        <s v="c5b0b3c8-2038-48f6-8cb1-2015624aff3d"/>
        <s v="91b92f8b-8a84-4529-b662-f7edb5b85fb3"/>
        <s v="4e2e2c6e-08e7-4744-a7f3-c30f26e5e2da"/>
        <s v="c2ebbadc-8428-4344-b194-8be49de0103a"/>
        <s v="35cb60f2-6a75-4179-bd14-f9d493510969"/>
        <s v="fd642ae2-6434-4207-b415-14cc77fd7fd1"/>
        <s v="66f0f769-8909-41ba-98fa-547216752b38"/>
        <s v="7770ca8d-ac69-4006-81b8-4ea71f217475"/>
        <s v="08439ba1-2afd-45c3-a748-4ffbbfd9de84"/>
        <s v="185aeb98-3d9f-4e80-bba6-857733964543"/>
        <s v="11d56acf-680f-45e2-a0c3-6cdd9937f592"/>
        <s v="366e3cca-8c47-4390-941c-c2bce3352f8b"/>
        <s v="7de5b4a3-37ef-473e-b2de-c6d586901942"/>
        <s v="dbf9a793-ecb9-4b39-b103-d90417426bd0"/>
        <s v="9a924849-2156-4d5e-8361-50061981f0d4"/>
        <s v="851143e5-93aa-4480-8cdc-538931ffba99"/>
        <s v="99cb37c7-6e7f-4ad2-9efb-00b7a397b217"/>
        <s v="e9b74954-a41a-4d31-9d5e-b2d16518020a"/>
      </sharedItems>
    </cacheField>
    <cacheField name="order_date" numFmtId="164">
      <sharedItems containsSemiMixedTypes="0" containsDate="1" containsString="0">
        <d v="2023-06-22T00:00:00Z"/>
        <d v="2023-02-17T00:00:00Z"/>
        <d v="2023-04-28T00:00:00Z"/>
        <d v="2023-07-12T00:00:00Z"/>
        <d v="2023-11-20T00:00:00Z"/>
        <d v="2023-09-09T00:00:00Z"/>
        <d v="2023-07-15T00:00:00Z"/>
        <d v="2023-12-26T00:00:00Z"/>
        <d v="2023-01-10T00:00:00Z"/>
        <d v="2023-07-31T00:00:00Z"/>
        <d v="2023-10-05T00:00:00Z"/>
        <d v="2023-08-31T00:00:00Z"/>
        <d v="2023-10-20T00:00:00Z"/>
        <d v="2023-03-29T00:00:00Z"/>
        <d v="2023-03-12T00:00:00Z"/>
        <d v="2023-03-30T00:00:00Z"/>
        <d v="2023-11-11T00:00:00Z"/>
        <d v="2023-07-13T00:00:00Z"/>
        <d v="2023-02-09T00:00:00Z"/>
        <d v="2023-06-24T00:00:00Z"/>
        <d v="2023-12-04T00:00:00Z"/>
        <d v="2023-06-15T00:00:00Z"/>
        <d v="2023-01-26T00:00:00Z"/>
        <d v="2023-11-30T00:00:00Z"/>
        <d v="2023-03-14T00:00:00Z"/>
        <d v="2023-09-23T00:00:00Z"/>
        <d v="2023-04-26T00:00:00Z"/>
        <d v="2023-09-01T00:00:00Z"/>
        <d v="2023-07-17T00:00:00Z"/>
        <d v="2023-12-02T00:00:00Z"/>
        <d v="2023-12-05T00:00:00Z"/>
        <d v="2023-04-10T00:00:00Z"/>
        <d v="2023-06-27T00:00:00Z"/>
        <d v="2023-10-13T00:00:00Z"/>
        <d v="2023-05-28T00:00:00Z"/>
        <d v="2023-10-16T00:00:00Z"/>
        <d v="2023-07-05T00:00:00Z"/>
        <d v="2023-05-08T00:00:00Z"/>
        <d v="2023-02-02T00:00:00Z"/>
        <d v="2023-02-01T00:00:00Z"/>
        <d v="2023-07-22T00:00:00Z"/>
        <d v="2023-09-02T00:00:00Z"/>
        <d v="2023-06-01T00:00:00Z"/>
        <d v="2023-06-13T00:00:00Z"/>
        <d v="2023-07-03T00:00:00Z"/>
        <d v="2023-01-29T00:00:00Z"/>
        <d v="2023-10-18T00:00:00Z"/>
        <d v="2023-05-09T00:00:00Z"/>
        <d v="2023-02-23T00:00:00Z"/>
        <d v="2023-02-08T00:00:00Z"/>
        <d v="2023-10-01T00:00:00Z"/>
        <d v="2023-04-16T00:00:00Z"/>
        <d v="2023-02-12T00:00:00Z"/>
        <d v="2023-09-15T00:00:00Z"/>
        <d v="2023-11-18T00:00:00Z"/>
        <d v="2023-02-27T00:00:00Z"/>
        <d v="2023-10-19T00:00:00Z"/>
        <d v="2023-12-25T00:00:00Z"/>
        <d v="2023-04-30T00:00:00Z"/>
        <d v="2023-09-25T00:00:00Z"/>
        <d v="2023-03-24T00:00:00Z"/>
        <d v="2023-04-02T00:00:00Z"/>
        <d v="2023-05-02T00:00:00Z"/>
        <d v="2023-03-26T00:00:00Z"/>
        <d v="2023-07-23T00:00:00Z"/>
        <d v="2023-11-21T00:00:00Z"/>
        <d v="2023-09-20T00:00:00Z"/>
        <d v="2023-05-12T00:00:00Z"/>
        <d v="2023-12-23T00:00:00Z"/>
        <d v="2023-06-30T00:00:00Z"/>
        <d v="2023-12-01T00:00:00Z"/>
        <d v="2023-05-24T00:00:00Z"/>
        <d v="2023-05-29T00:00:00Z"/>
        <d v="2023-08-16T00:00:00Z"/>
        <d v="2023-10-07T00:00:00Z"/>
        <d v="2023-07-27T00:00:00Z"/>
        <d v="2023-12-08T00:00:00Z"/>
        <d v="2023-02-18T00:00:00Z"/>
        <d v="2023-11-02T00:00:00Z"/>
        <d v="2023-03-11T00:00:00Z"/>
        <d v="2023-06-19T00:00:00Z"/>
        <d v="2023-04-06T00:00:00Z"/>
        <d v="2023-04-05T00:00:00Z"/>
        <d v="2023-09-14T00:00:00Z"/>
        <d v="2023-06-28T00:00:00Z"/>
        <d v="2023-11-01T00:00:00Z"/>
        <d v="2023-12-16T00:00:00Z"/>
        <d v="2023-04-09T00:00:00Z"/>
        <d v="2023-07-21T00:00:00Z"/>
        <d v="2023-01-01T00:00:00Z"/>
        <d v="2023-02-13T00:00:00Z"/>
        <d v="2023-01-24T00:00:00Z"/>
        <d v="2023-07-07T00:00:00Z"/>
        <d v="2023-05-11T00:00:00Z"/>
        <d v="2023-03-04T00:00:00Z"/>
        <d v="2023-08-11T00:00:00Z"/>
        <d v="2023-05-04T00:00:00Z"/>
        <d v="2023-07-29T00:00:00Z"/>
        <d v="2023-02-20T00:00:00Z"/>
        <d v="2023-09-28T00:00:00Z"/>
        <d v="2023-02-11T00:00:00Z"/>
        <d v="2023-02-28T00:00:00Z"/>
        <d v="2023-02-06T00:00:00Z"/>
        <d v="2023-09-24T00:00:00Z"/>
        <d v="2023-03-28T00:00:00Z"/>
        <d v="2023-12-27T00:00:00Z"/>
        <d v="2023-01-12T00:00:00Z"/>
        <d v="2023-09-16T00:00:00Z"/>
        <d v="2023-11-04T00:00:00Z"/>
        <d v="2023-03-22T00:00:00Z"/>
        <d v="2023-07-02T00:00:00Z"/>
        <d v="2023-10-22T00:00:00Z"/>
        <d v="2023-10-03T00:00:00Z"/>
        <d v="2023-07-04T00:00:00Z"/>
        <d v="2023-03-19T00:00:00Z"/>
        <d v="2023-10-14T00:00:00Z"/>
        <d v="2023-10-08T00:00:00Z"/>
        <d v="2023-05-06T00:00:00Z"/>
        <d v="2023-01-04T00:00:00Z"/>
        <d v="2023-08-15T00:00:00Z"/>
        <d v="2023-12-30T00:00:00Z"/>
        <d v="2023-09-27T00:00:00Z"/>
        <d v="2023-10-24T00:00:00Z"/>
        <d v="2023-11-25T00:00:00Z"/>
        <d v="2023-01-20T00:00:00Z"/>
        <d v="2023-09-06T00:00:00Z"/>
        <d v="2023-11-14T00:00:00Z"/>
        <d v="2023-12-19T00:00:00Z"/>
        <d v="2023-09-18T00:00:00Z"/>
        <d v="2023-08-26T00:00:00Z"/>
        <d v="2023-05-20T00:00:00Z"/>
        <d v="2023-04-20T00:00:00Z"/>
        <d v="2023-11-28T00:00:00Z"/>
        <d v="2023-01-17T00:00:00Z"/>
        <d v="2023-06-02T00:00:00Z"/>
        <d v="2023-05-30T00:00:00Z"/>
        <d v="2023-04-21T00:00:00Z"/>
        <d v="2023-03-25T00:00:00Z"/>
        <d v="2023-06-11T00:00:00Z"/>
        <d v="2023-08-17T00:00:00Z"/>
        <d v="2023-11-23T00:00:00Z"/>
        <d v="2023-10-15T00:00:00Z"/>
        <d v="2023-01-14T00:00:00Z"/>
        <d v="2023-11-24T00:00:00Z"/>
        <d v="2023-03-21T00:00:00Z"/>
        <d v="2023-10-02T00:00:00Z"/>
        <d v="2023-02-10T00:00:00Z"/>
        <d v="2023-06-16T00:00:00Z"/>
        <d v="2023-04-22T00:00:00Z"/>
        <d v="2023-05-10T00:00:00Z"/>
        <d v="2023-08-12T00:00:00Z"/>
        <d v="2023-10-28T00:00:00Z"/>
        <d v="2023-08-05T00:00:00Z"/>
        <d v="2023-01-25T00:00:00Z"/>
        <d v="2023-03-09T00:00:00Z"/>
        <d v="2023-09-17T00:00:00Z"/>
        <d v="2023-08-23T00:00:00Z"/>
        <d v="2023-07-24T00:00:00Z"/>
        <d v="2023-08-03T00:00:00Z"/>
        <d v="2023-07-09T00:00:00Z"/>
        <d v="2023-08-04T00:00:00Z"/>
        <d v="2023-04-15T00:00:00Z"/>
        <d v="2023-08-01T00:00:00Z"/>
        <d v="2023-05-19T00:00:00Z"/>
        <d v="2023-06-06T00:00:00Z"/>
        <d v="2023-01-28T00:00:00Z"/>
        <d v="2023-08-06T00:00:00Z"/>
        <d v="2023-11-06T00:00:00Z"/>
        <d v="2023-01-30T00:00:00Z"/>
        <d v="2023-02-05T00:00:00Z"/>
        <d v="2023-10-23T00:00:00Z"/>
        <d v="2023-03-15T00:00:00Z"/>
        <d v="2023-10-25T00:00:00Z"/>
        <d v="2023-10-30T00:00:00Z"/>
        <d v="2023-08-07T00:00:00Z"/>
        <d v="2023-12-31T00:00:00Z"/>
        <d v="2023-07-19T00:00:00Z"/>
        <d v="2023-03-03T00:00:00Z"/>
        <d v="2023-12-20T00:00:00Z"/>
        <d v="2023-02-14T00:00:00Z"/>
        <d v="2023-02-03T00:00:00Z"/>
        <d v="2023-05-14T00:00:00Z"/>
        <d v="2023-08-21T00:00:00Z"/>
        <d v="2023-09-13T00:00:00Z"/>
        <d v="2023-09-12T00:00:00Z"/>
        <d v="2023-05-17T00:00:00Z"/>
        <d v="2023-12-14T00:00:00Z"/>
        <d v="2023-06-18T00:00:00Z"/>
        <d v="2023-06-26T00:00:00Z"/>
        <d v="2023-04-25T00:00:00Z"/>
        <d v="2023-08-30T00:00:00Z"/>
        <d v="2023-10-17T00:00:00Z"/>
        <d v="2023-05-27T00:00:00Z"/>
        <d v="2023-08-10T00:00:00Z"/>
        <d v="2023-12-07T00:00:00Z"/>
        <d v="2023-01-03T00:00:00Z"/>
        <d v="2023-12-24T00:00:00Z"/>
        <d v="2023-09-11T00:00:00Z"/>
        <d v="2023-11-19T00:00:00Z"/>
        <d v="2023-05-31T00:00:00Z"/>
        <d v="2023-05-26T00:00:00Z"/>
        <d v="2023-07-18T00:00:00Z"/>
        <d v="2023-12-15T00:00:00Z"/>
        <d v="2023-04-04T00:00:00Z"/>
        <d v="2023-12-12T00:00:00Z"/>
        <d v="2023-11-26T00:00:00Z"/>
        <d v="2023-03-05T00:00:00Z"/>
        <d v="2023-04-17T00:00:00Z"/>
        <d v="2023-06-14T00:00:00Z"/>
        <d v="2023-04-27T00:00:00Z"/>
        <d v="2023-07-11T00:00:00Z"/>
        <d v="2023-08-27T00:00:00Z"/>
        <d v="2023-06-10T00:00:00Z"/>
        <d v="2023-03-23T00:00:00Z"/>
        <d v="2023-05-01T00:00:00Z"/>
        <d v="2023-11-17T00:00:00Z"/>
        <d v="2023-08-09T00:00:00Z"/>
        <d v="2023-10-09T00:00:00Z"/>
        <d v="2023-10-12T00:00:00Z"/>
        <d v="2023-10-04T00:00:00Z"/>
        <d v="2023-01-23T00:00:00Z"/>
        <d v="2023-05-16T00:00:00Z"/>
        <d v="2023-05-22T00:00:00Z"/>
        <d v="2023-01-06T00:00:00Z"/>
        <d v="2023-01-05T00:00:00Z"/>
        <d v="2023-10-10T00:00:00Z"/>
        <d v="2023-03-16T00:00:00Z"/>
        <d v="2023-11-05T00:00:00Z"/>
        <d v="2023-08-08T00:00:00Z"/>
        <d v="2023-12-28T00:00:00Z"/>
        <d v="2023-02-21T00:00:00Z"/>
        <d v="2023-06-08T00:00:00Z"/>
        <d v="2023-11-08T00:00:00Z"/>
        <d v="2023-12-10T00:00:00Z"/>
        <d v="2023-03-01T00:00:00Z"/>
        <d v="2023-12-03T00:00:00Z"/>
        <d v="2023-06-04T00:00:00Z"/>
        <d v="2023-05-05T00:00:00Z"/>
        <d v="2023-06-17T00:00:00Z"/>
        <d v="2023-07-28T00:00:00Z"/>
        <d v="2023-09-22T00:00:00Z"/>
        <d v="2023-03-02T00:00:00Z"/>
        <d v="2023-02-26T00:00:00Z"/>
        <d v="2023-04-11T00:00:00Z"/>
        <d v="2023-01-31T00:00:00Z"/>
        <d v="2023-02-24T00:00:00Z"/>
        <d v="2023-06-03T00:00:00Z"/>
        <d v="2023-12-09T00:00:00Z"/>
        <d v="2023-01-08T00:00:00Z"/>
        <d v="2023-05-18T00:00:00Z"/>
        <d v="2023-12-06T00:00:00Z"/>
        <d v="2023-05-07T00:00:00Z"/>
        <d v="2023-10-26T00:00:00Z"/>
        <d v="2023-03-07T00:00:00Z"/>
        <d v="2023-01-21T00:00:00Z"/>
        <d v="2023-04-23T00:00:00Z"/>
        <d v="2023-11-29T00:00:00Z"/>
        <d v="2023-11-27T00:00:00Z"/>
        <d v="2023-08-14T00:00:00Z"/>
        <d v="2023-07-06T00:00:00Z"/>
        <d v="2023-12-22T00:00:00Z"/>
        <d v="2023-11-22T00:00:00Z"/>
        <d v="2023-05-15T00:00:00Z"/>
        <d v="2023-01-27T00:00:00Z"/>
        <d v="2023-08-13T00:00:00Z"/>
        <d v="2023-09-04T00:00:00Z"/>
        <d v="2023-08-02T00:00:00Z"/>
        <d v="2023-04-19T00:00:00Z"/>
        <d v="2023-04-13T00:00:00Z"/>
        <d v="2023-04-18T00:00:00Z"/>
        <d v="2023-06-21T00:00:00Z"/>
        <d v="2023-02-16T00:00:00Z"/>
        <d v="2023-06-29T00:00:00Z"/>
        <d v="2023-03-31T00:00:00Z"/>
        <d v="2023-04-07T00:00:00Z"/>
        <d v="2023-07-26T00:00:00Z"/>
        <d v="2023-11-12T00:00:00Z"/>
        <d v="2023-11-10T00:00:00Z"/>
        <d v="2023-06-23T00:00:00Z"/>
        <d v="2023-08-22T00:00:00Z"/>
        <d v="2023-05-13T00:00:00Z"/>
        <d v="2023-07-14T00:00:00Z"/>
        <d v="2023-07-10T00:00:00Z"/>
        <d v="2023-07-25T00:00:00Z"/>
        <d v="2023-12-21T00:00:00Z"/>
        <d v="2023-04-01T00:00:00Z"/>
        <d v="2023-10-31T00:00:00Z"/>
        <d v="2023-01-07T00:00:00Z"/>
        <d v="2023-09-03T00:00:00Z"/>
        <d v="2023-01-16T00:00:00Z"/>
        <d v="2023-08-18T00:00:00Z"/>
        <d v="2023-09-26T00:00:00Z"/>
        <d v="2023-03-08T00:00:00Z"/>
        <d v="2023-06-05T00:00:00Z"/>
        <d v="2023-12-11T00:00:00Z"/>
        <d v="2023-07-08T00:00:00Z"/>
        <d v="2023-04-03T00:00:00Z"/>
        <d v="2023-06-09T00:00:00Z"/>
      </sharedItems>
    </cacheField>
    <cacheField name="product_id" numFmtId="49">
      <sharedItems>
        <s v="47905535"/>
        <s v="3738306"/>
        <s v="23771949"/>
        <s v="46541918"/>
        <s v="75991326"/>
        <s v="63074284"/>
        <s v="52185519"/>
        <s v="53348661"/>
        <s v="60271426"/>
        <s v="83975295"/>
        <s v="29643127"/>
        <s v="27862049"/>
        <s v="79151177"/>
        <s v="38009174"/>
        <s v="49486230"/>
        <s v="19827308"/>
        <s v="32922998"/>
        <s v="21141492"/>
        <s v="79496018"/>
        <s v="27055465"/>
        <s v="60433190"/>
        <s v="23837508"/>
        <s v="46988256"/>
        <s v="98634170"/>
        <s v="43441525"/>
        <s v="70670486"/>
        <s v="96799833"/>
        <s v="20416430"/>
        <s v="77486295"/>
        <s v="74203543"/>
        <s v="10645932"/>
        <s v="56213577"/>
        <s v="72566657"/>
        <s v="91187215"/>
        <s v="8673619"/>
        <s v="60492449"/>
        <s v="81850204"/>
        <s v="15573353"/>
        <s v="97482765"/>
        <s v="1015348"/>
        <s v="81841189"/>
        <s v="94031270"/>
        <s v="22742797"/>
        <s v="8601148"/>
        <s v="16346376"/>
        <s v="98852604"/>
        <s v="96934586"/>
        <s v="57745428"/>
        <s v="23750579"/>
        <s v="94301786"/>
        <s v="23695825"/>
        <s v="7677502"/>
        <s v="39317216"/>
        <s v="88694313"/>
        <s v="60875037"/>
        <s v="94678413"/>
        <s v="1566635"/>
        <s v="47680647"/>
        <s v="72666999"/>
        <s v="47854697"/>
        <s v="25067743"/>
        <s v="13536091"/>
        <s v="52271120"/>
        <s v="90320866"/>
        <s v="62467483"/>
        <s v="2721170"/>
        <s v="44460945"/>
        <s v="57104379"/>
        <s v="48361606"/>
        <s v="1504408"/>
        <s v="902922"/>
        <s v="71920825"/>
        <s v="11191315"/>
        <s v="76117787"/>
        <s v="28125686"/>
        <s v="21808319"/>
        <s v="65858981"/>
        <s v="64391298"/>
        <s v="65458501"/>
        <s v="243223"/>
        <s v="17724425"/>
        <s v="2553184"/>
        <s v="72453193"/>
        <s v="35614685"/>
        <s v="50536061"/>
        <s v="84240415"/>
        <s v="56043242"/>
        <s v="58127391"/>
        <s v="99164041"/>
        <s v="925266"/>
        <s v="39830838"/>
        <s v="78799554"/>
        <s v="51065270"/>
        <s v="36903979"/>
        <s v="66226673"/>
        <s v="34129043"/>
        <s v="21242649"/>
        <s v="86586771"/>
        <s v="14954443"/>
        <s v="69807886"/>
        <s v="36460069"/>
        <s v="81400768"/>
        <s v="85878785"/>
        <s v="79290951"/>
        <s v="34613122"/>
        <s v="97275725"/>
        <s v="74758302"/>
        <s v="58468913"/>
        <s v="42822158"/>
        <s v="30077195"/>
        <s v="80279297"/>
        <s v="41452752"/>
        <s v="5119141"/>
        <s v="49520767"/>
        <s v="63164763"/>
        <s v="76263637"/>
        <s v="41275542"/>
        <s v="75327255"/>
        <s v="37218997"/>
        <s v="75215248"/>
        <s v="51165543"/>
        <s v="50342280"/>
        <s v="27318416"/>
        <s v="6167721"/>
        <s v="20121693"/>
        <s v="14199134"/>
        <s v="46287458"/>
        <s v="26422138"/>
        <s v="85715868"/>
        <s v="47025271"/>
        <s v="33127613"/>
        <s v="53152336"/>
        <s v="98575978"/>
        <s v="84409928"/>
        <s v="43881475"/>
        <s v="21078880"/>
        <s v="99866594"/>
        <s v="53572806"/>
        <s v="72018026"/>
        <s v="10543108"/>
        <s v="32568950"/>
        <s v="63609394"/>
        <s v="7062315"/>
        <s v="92544758"/>
        <s v="86754842"/>
        <s v="78565647"/>
        <s v="3746622"/>
        <s v="27329313"/>
        <s v="48829274"/>
        <s v="17362108"/>
        <s v="80119227"/>
        <s v="93551168"/>
        <s v="72598399"/>
        <s v="39979414"/>
        <s v="26132242"/>
        <s v="45275814"/>
        <s v="16003569"/>
        <s v="35691518"/>
        <s v="79743600"/>
        <s v="55218474"/>
        <s v="9228955"/>
        <s v="71647401"/>
        <s v="60712455"/>
        <s v="49277098"/>
        <s v="52604294"/>
        <s v="21687822"/>
        <s v="65285923"/>
        <s v="11313731"/>
        <s v="6545949"/>
        <s v="78047631"/>
        <s v="70896534"/>
        <s v="95422435"/>
        <s v="15624499"/>
        <s v="26012667"/>
        <s v="11938132"/>
        <s v="57891224"/>
        <s v="99907433"/>
        <s v="80710097"/>
        <s v="32738490"/>
        <s v="91258090"/>
        <s v="54839403"/>
        <s v="96515457"/>
        <s v="14925009"/>
        <s v="96063699"/>
        <s v="74029785"/>
        <s v="10012666"/>
        <s v="92381001"/>
        <s v="66426059"/>
        <s v="68385934"/>
        <s v="6780357"/>
        <s v="72933039"/>
        <s v="14554223"/>
        <s v="96406199"/>
        <s v="72636626"/>
        <s v="87950984"/>
        <s v="33867397"/>
        <s v="18122404"/>
        <s v="51298920"/>
        <s v="86405201"/>
        <s v="83794605"/>
        <s v="39435149"/>
        <s v="75404154"/>
        <s v="43533336"/>
        <s v="61842564"/>
        <s v="8086143"/>
        <s v="38411861"/>
        <s v="85221444"/>
        <s v="27438930"/>
        <s v="17356459"/>
        <s v="12758210"/>
        <s v="76759475"/>
        <s v="24061797"/>
        <s v="21163418"/>
        <s v="69480904"/>
        <s v="66853329"/>
        <s v="11892458"/>
        <s v="78362994"/>
        <s v="25205213"/>
        <s v="85931817"/>
        <s v="78974593"/>
        <s v="13064853"/>
        <s v="39541727"/>
        <s v="1745474"/>
        <s v="5535552"/>
        <s v="63069846"/>
        <s v="69081507"/>
        <s v="62120845"/>
        <s v="35391364"/>
        <s v="54017467"/>
        <s v="32702026"/>
        <s v="90150333"/>
        <s v="74495856"/>
        <s v="79803236"/>
        <s v="31210980"/>
        <s v="19967769"/>
        <s v="9858329"/>
        <s v="94846980"/>
        <s v="7993640"/>
        <s v="84159489"/>
        <s v="47719453"/>
        <s v="16501591"/>
        <s v="18390001"/>
        <s v="47180734"/>
        <s v="48443692"/>
        <s v="77450999"/>
        <s v="94151268"/>
        <s v="74549320"/>
        <s v="87747119"/>
        <s v="28045557"/>
        <s v="6524708"/>
        <s v="88454955"/>
        <s v="15079251"/>
        <s v="94470727"/>
        <s v="35310679"/>
        <s v="69050077"/>
        <s v="43271689"/>
        <s v="4120049"/>
        <s v="68941574"/>
        <s v="95453088"/>
        <s v="37806507"/>
        <s v="83183089"/>
        <s v="52397875"/>
        <s v="62742054"/>
        <s v="45436000"/>
        <s v="12959204"/>
        <s v="8292124"/>
        <s v="28266051"/>
        <s v="45903908"/>
        <s v="55519557"/>
        <s v="16359420"/>
        <s v="38292811"/>
        <s v="59989196"/>
        <s v="25474725"/>
        <s v="66515241"/>
        <s v="25715545"/>
        <s v="52633294"/>
        <s v="79693059"/>
        <s v="20769109"/>
        <s v="64936093"/>
        <s v="36977963"/>
        <s v="66042259"/>
        <s v="18972962"/>
        <s v="32407570"/>
        <s v="58349076"/>
        <s v="24350495"/>
        <s v="63039627"/>
        <s v="49832693"/>
        <s v="75792091"/>
        <s v="66542476"/>
        <s v="46937322"/>
        <s v="77063847"/>
        <s v="61442238"/>
        <s v="42253990"/>
        <s v="20124946"/>
        <s v="42049517"/>
        <s v="64598840"/>
        <s v="18800562"/>
        <s v="97593164"/>
        <s v="61948525"/>
        <s v="265058"/>
        <s v="58996812"/>
        <s v="19833583"/>
        <s v="62010535"/>
        <s v="69163517"/>
        <s v="12432363"/>
        <s v="63308464"/>
        <s v="38195549"/>
        <s v="83793905"/>
        <s v="91461018"/>
        <s v="55194136"/>
        <s v="49116724"/>
        <s v="53232090"/>
        <s v="7788369"/>
        <s v="33915241"/>
        <s v="17737470"/>
        <s v="37293963"/>
        <s v="56462296"/>
        <s v="87139594"/>
        <s v="40473635"/>
        <s v="49505061"/>
        <s v="9800069"/>
        <s v="94750867"/>
        <s v="16405004"/>
        <s v="51908195"/>
        <s v="80399643"/>
        <s v="11212836"/>
        <s v="37946302"/>
        <s v="88713267"/>
        <s v="71331263"/>
        <s v="76493805"/>
        <s v="86279208"/>
        <s v="46977960"/>
        <s v="58314883"/>
        <s v="35438649"/>
        <s v="46553140"/>
        <s v="43136827"/>
        <s v="53673480"/>
        <s v="56197716"/>
        <s v="21844065"/>
        <s v="63092066"/>
        <s v="65660478"/>
        <s v="99010294"/>
        <s v="83256288"/>
        <s v="47314290"/>
        <s v="33200743"/>
        <s v="48067928"/>
        <s v="2086514"/>
        <s v="50783465"/>
        <s v="6772314"/>
        <s v="88183862"/>
        <s v="54390546"/>
        <s v="19921709"/>
        <s v="75462086"/>
        <s v="22634986"/>
        <s v="90030956"/>
        <s v="47944855"/>
        <s v="52178115"/>
        <s v="22563842"/>
        <s v="55480819"/>
        <s v="61967113"/>
        <s v="72626801"/>
        <s v="56442199"/>
        <s v="78593800"/>
        <s v="37862886"/>
        <s v="3483404"/>
        <s v="85462038"/>
        <s v="94374001"/>
        <s v="66802150"/>
        <s v="63468595"/>
        <s v="21530661"/>
        <s v="45383991"/>
        <s v="90733420"/>
        <s v="27301364"/>
        <s v="66029441"/>
        <s v="9347618"/>
        <s v="95175393"/>
        <s v="90157349"/>
        <s v="41019634"/>
        <s v="73786870"/>
        <s v="22087164"/>
        <s v="52199578"/>
        <s v="93760249"/>
        <s v="48469074"/>
        <s v="17478571"/>
        <s v="91436757"/>
        <s v="72751497"/>
        <s v="39284129"/>
        <s v="8987877"/>
        <s v="42065463"/>
        <s v="36108"/>
        <s v="67931408"/>
        <s v="27901045"/>
        <s v="27233382"/>
        <s v="775212"/>
        <s v="9003644"/>
        <s v="7418211"/>
        <s v="55838993"/>
        <s v="38848322"/>
        <s v="25114669"/>
        <s v="84821560"/>
        <s v="12068098"/>
        <s v="49530001"/>
        <s v="3511442"/>
        <s v="70163445"/>
        <s v="99128159"/>
        <s v="54501645"/>
        <s v="54027534"/>
        <s v="31658126"/>
        <s v="29381487"/>
        <s v="60537997"/>
        <s v="37817350"/>
        <s v="95599069"/>
        <s v="15665324"/>
        <s v="56684339"/>
        <s v="16323056"/>
        <s v="61198906"/>
        <s v="52257650"/>
        <s v="44562724"/>
        <s v="72685518"/>
        <s v="2553146"/>
        <s v="59017899"/>
        <s v="30771314"/>
        <s v="33935508"/>
        <s v="44059057"/>
        <s v="26168272"/>
        <s v="78505018"/>
        <s v="77038012"/>
        <s v="61627994"/>
        <s v="49608090"/>
        <s v="32927276"/>
        <s v="30808775"/>
        <s v="64759982"/>
        <s v="12907779"/>
        <s v="46300560"/>
        <s v="73990833"/>
        <s v="95324883"/>
        <s v="26914633"/>
        <s v="19562681"/>
        <s v="71465562"/>
        <s v="56403756"/>
        <s v="31506632"/>
        <s v="96365106"/>
        <s v="34134139"/>
        <s v="23965423"/>
        <s v="38702792"/>
        <s v="10474389"/>
        <s v="82542252"/>
        <s v="64577623"/>
        <s v="97346678"/>
        <s v="5750573"/>
        <s v="57118444"/>
        <s v="96571576"/>
        <s v="68068509"/>
        <s v="50978960"/>
        <s v="30488397"/>
        <s v="83186189"/>
        <s v="4550723"/>
        <s v="89099964"/>
        <s v="47498341"/>
        <s v="23373341"/>
        <s v="53952165"/>
        <s v="33993621"/>
        <s v="74911431"/>
        <s v="517447"/>
        <s v="76438585"/>
        <s v="91565181"/>
        <s v="29799688"/>
        <s v="54822122"/>
        <s v="14038563"/>
        <s v="85189706"/>
        <s v="38606694"/>
        <s v="88311562"/>
        <s v="84377296"/>
        <s v="94887518"/>
        <s v="5572847"/>
        <s v="1727487"/>
        <s v="22913821"/>
        <s v="70185560"/>
        <s v="53167996"/>
        <s v="81999743"/>
        <s v="5871841"/>
        <s v="19509242"/>
        <s v="25736588"/>
        <s v="5597376"/>
        <s v="69956676"/>
        <s v="32703078"/>
        <s v="2128313"/>
        <s v="16380264"/>
        <s v="21658372"/>
        <s v="1138115"/>
        <s v="81910243"/>
        <s v="79824491"/>
        <s v="99354275"/>
        <s v="25332964"/>
        <s v="76092909"/>
        <s v="41060230"/>
        <s v="41309766"/>
        <s v="67341573"/>
        <s v="65900192"/>
        <s v="97737803"/>
        <s v="43035847"/>
        <s v="6533359"/>
        <s v="9101357"/>
        <s v="91864321"/>
        <s v="77739186"/>
        <s v="82159214"/>
        <s v="46432131"/>
        <s v="34401286"/>
        <s v="74211395"/>
        <s v="83327377"/>
        <s v="97156826"/>
        <s v="6992927"/>
        <s v="65883358"/>
        <s v="39706973"/>
        <s v="8535207"/>
        <s v="57189642"/>
        <s v="98230716"/>
        <s v="37494407"/>
        <s v="95410906"/>
        <s v="70210446"/>
        <s v="11139904"/>
        <s v="55997089"/>
        <s v="97649038"/>
        <s v="55526364"/>
        <s v="498340"/>
        <s v="29064304"/>
        <s v="9279230"/>
        <s v="95468181"/>
        <s v="73440598"/>
        <s v="49434583"/>
        <s v="44671167"/>
        <s v="32345872"/>
        <s v="79638753"/>
        <s v="13974916"/>
        <s v="138659"/>
        <s v="81174775"/>
        <s v="4887591"/>
        <s v="72830796"/>
        <s v="33930411"/>
        <s v="65652961"/>
        <s v="72623053"/>
        <s v="77154927"/>
        <s v="40384436"/>
        <s v="17187527"/>
        <s v="48103350"/>
        <s v="82553432"/>
        <s v="80644644"/>
        <s v="10092385"/>
        <s v="8299420"/>
        <s v="29707942"/>
        <s v="83513329"/>
        <s v="24874748"/>
        <s v="35327721"/>
        <s v="83664359"/>
        <s v="47266766"/>
        <s v="39049803"/>
        <s v="79069922"/>
        <s v="942102"/>
        <s v="45046162"/>
        <s v="65332979"/>
        <s v="65782910"/>
        <s v="47912489"/>
        <s v="38569517"/>
        <s v="57012247"/>
        <s v="42325581"/>
        <s v="33908380"/>
        <s v="75267735"/>
        <s v="78643185"/>
        <s v="76945113"/>
        <s v="23782075"/>
        <s v="28720324"/>
        <s v="39055743"/>
        <s v="59551461"/>
        <s v="17959568"/>
        <s v="11028956"/>
        <s v="30181465"/>
        <s v="64570341"/>
        <s v="56501100"/>
        <s v="59204947"/>
        <s v="93858335"/>
        <s v="29762149"/>
        <s v="65546536"/>
        <s v="6251239"/>
        <s v="82749071"/>
        <s v="78286191"/>
        <s v="93768580"/>
        <s v="30049628"/>
        <s v="33969824"/>
        <s v="20319038"/>
        <s v="91103321"/>
        <s v="35686156"/>
        <s v="91561855"/>
        <s v="1044027"/>
        <s v="15542762"/>
        <s v="33116273"/>
        <s v="98788200"/>
        <s v="10723593"/>
        <s v="1884241"/>
        <s v="56160482"/>
        <s v="46957405"/>
      </sharedItems>
    </cacheField>
    <cacheField name="category" numFmtId="49">
      <sharedItems>
        <s v="Books"/>
        <s v="Toys"/>
        <s v="Home"/>
        <s v="Clothing"/>
        <s v="Electronics"/>
      </sharedItems>
    </cacheField>
    <cacheField name="price" numFmtId="4">
      <sharedItems containsSemiMixedTypes="0" containsString="0" containsNumber="1" containsInteger="1">
        <n v="1498.0"/>
        <n v="6723.0"/>
        <n v="6570.0"/>
        <n v="6625.0"/>
        <n v="1570.0"/>
        <n v="8470.0"/>
        <n v="3109.0"/>
        <n v="8380.0"/>
        <n v="2665.0"/>
        <n v="7777.0"/>
        <n v="1049.0"/>
        <n v="4801.0"/>
        <n v="3726.0"/>
        <n v="7659.0"/>
        <n v="9819.0"/>
        <n v="2537.0"/>
        <n v="759.0"/>
        <n v="7686.0"/>
        <n v="6111.0"/>
        <n v="1184.0"/>
        <n v="3818.0"/>
        <n v="3287.0"/>
        <n v="7639.0"/>
        <n v="6848.0"/>
        <n v="3445.0"/>
        <n v="8324.0"/>
        <n v="9467.0"/>
        <n v="4105.0"/>
        <n v="9439.0"/>
        <n v="6686.0"/>
        <n v="9042.0"/>
        <n v="6309.0"/>
        <n v="423.0"/>
        <n v="9856.0"/>
        <n v="8745.0"/>
        <n v="5504.0"/>
        <n v="4734.0"/>
        <n v="4995.0"/>
        <n v="1748.0"/>
        <n v="8542.0"/>
        <n v="2568.0"/>
        <n v="2899.0"/>
        <n v="5029.0"/>
        <n v="3487.0"/>
        <n v="8312.0"/>
        <n v="8345.0"/>
        <n v="5180.0"/>
        <n v="2237.0"/>
        <n v="4016.0"/>
        <n v="7737.0"/>
        <n v="7803.0"/>
        <n v="7771.0"/>
        <n v="5378.0"/>
        <n v="3604.0"/>
        <n v="6017.0"/>
        <n v="2607.0"/>
        <n v="2340.0"/>
        <n v="9395.0"/>
        <n v="9883.0"/>
        <n v="8924.0"/>
        <n v="9370.0"/>
        <n v="8551.0"/>
        <n v="9022.0"/>
        <n v="7159.0"/>
        <n v="8148.0"/>
        <n v="7926.0"/>
        <n v="1104.0"/>
        <n v="3872.0"/>
        <n v="4909.0"/>
        <n v="3706.0"/>
        <n v="8398.0"/>
        <n v="9420.0"/>
        <n v="6912.0"/>
        <n v="2289.0"/>
        <n v="5202.0"/>
        <n v="4302.0"/>
        <n v="1745.0"/>
        <n v="8507.0"/>
        <n v="2505.0"/>
        <n v="4592.0"/>
        <n v="7804.0"/>
        <n v="3640.0"/>
        <n v="6620.0"/>
        <n v="2347.0"/>
        <n v="5933.0"/>
        <n v="4551.0"/>
        <n v="296.0"/>
        <n v="7465.0"/>
        <n v="4268.0"/>
        <n v="1725.0"/>
        <n v="2716.0"/>
        <n v="4343.0"/>
        <n v="6463.0"/>
        <n v="1303.0"/>
        <n v="7695.0"/>
        <n v="8641.0"/>
        <n v="8587.0"/>
        <n v="4538.0"/>
        <n v="6450.0"/>
        <n v="6838.0"/>
        <n v="9271.0"/>
        <n v="8333.0"/>
        <n v="376.0"/>
        <n v="2921.0"/>
        <n v="3250.0"/>
        <n v="5768.0"/>
        <n v="6009.0"/>
        <n v="4417.0"/>
        <n v="597.0"/>
        <n v="9068.0"/>
        <n v="5752.0"/>
        <n v="5107.0"/>
        <n v="6314.0"/>
        <n v="3432.0"/>
        <n v="8826.0"/>
        <n v="5317.0"/>
        <n v="2308.0"/>
        <n v="1505.0"/>
        <n v="8233.0"/>
        <n v="824.0"/>
        <n v="9873.0"/>
        <n v="8064.0"/>
        <n v="3754.0"/>
        <n v="3674.0"/>
        <n v="9128.0"/>
        <n v="5959.0"/>
        <n v="6350.0"/>
        <n v="9448.0"/>
        <n v="7310.0"/>
        <n v="1001.0"/>
        <n v="3388.0"/>
        <n v="7762.0"/>
        <n v="4961.0"/>
        <n v="1662.0"/>
        <n v="9822.0"/>
        <n v="4399.0"/>
        <n v="1690.0"/>
        <n v="3217.0"/>
        <n v="5240.0"/>
        <n v="8890.0"/>
        <n v="1246.0"/>
        <n v="3215.0"/>
        <n v="4097.0"/>
        <n v="1150.0"/>
        <n v="8624.0"/>
        <n v="3020.0"/>
        <n v="9074.0"/>
        <n v="5144.0"/>
        <n v="3322.0"/>
        <n v="6738.0"/>
        <n v="1139.0"/>
        <n v="3896.0"/>
        <n v="254.0"/>
        <n v="6715.0"/>
        <n v="3144.0"/>
        <n v="9047.0"/>
        <n v="765.0"/>
        <n v="1923.0"/>
        <n v="1616.0"/>
        <n v="7748.0"/>
        <n v="6037.0"/>
        <n v="4975.0"/>
        <n v="2357.0"/>
        <n v="322.0"/>
        <n v="1172.0"/>
        <n v="1921.0"/>
        <n v="2075.0"/>
        <n v="8959.0"/>
        <n v="6046.0"/>
        <n v="5482.0"/>
        <n v="6669.0"/>
        <n v="4552.0"/>
        <n v="1007.0"/>
        <n v="5963.0"/>
        <n v="5525.0"/>
        <n v="7815.0"/>
        <n v="5205.0"/>
        <n v="8503.0"/>
        <n v="7166.0"/>
        <n v="7201.0"/>
        <n v="6760.0"/>
        <n v="9487.0"/>
        <n v="6137.0"/>
        <n v="1142.0"/>
        <n v="8087.0"/>
        <n v="1934.0"/>
        <n v="7187.0"/>
        <n v="4964.0"/>
        <n v="1379.0"/>
        <n v="245.0"/>
        <n v="3331.0"/>
        <n v="1363.0"/>
        <n v="5463.0"/>
        <n v="5925.0"/>
        <n v="3359.0"/>
        <n v="9131.0"/>
        <n v="8801.0"/>
        <n v="9187.0"/>
        <n v="8928.0"/>
        <n v="4078.0"/>
        <n v="8418.0"/>
        <n v="2402.0"/>
        <n v="5862.0"/>
        <n v="8123.0"/>
        <n v="5807.0"/>
        <n v="3279.0"/>
        <n v="9742.0"/>
        <n v="1650.0"/>
        <n v="2404.0"/>
        <n v="8865.0"/>
        <n v="8167.0"/>
        <n v="7827.0"/>
        <n v="3663.0"/>
        <n v="4177.0"/>
        <n v="6389.0"/>
        <n v="6821.0"/>
        <n v="6997.0"/>
        <n v="1811.0"/>
        <n v="7857.0"/>
        <n v="5345.0"/>
        <n v="9484.0"/>
        <n v="8104.0"/>
        <n v="6127.0"/>
        <n v="739.0"/>
        <n v="4401.0"/>
        <n v="9986.0"/>
        <n v="4560.0"/>
        <n v="4541.0"/>
        <n v="2456.0"/>
        <n v="9916.0"/>
        <n v="9220.0"/>
        <n v="6628.0"/>
        <n v="8591.0"/>
        <n v="9579.0"/>
        <n v="4835.0"/>
        <n v="980.0"/>
        <n v="6947.0"/>
        <n v="2460.0"/>
        <n v="1795.0"/>
        <n v="8951.0"/>
        <n v="300.0"/>
        <n v="9090.0"/>
        <n v="4023.0"/>
        <n v="1133.0"/>
        <n v="8530.0"/>
        <n v="9826.0"/>
        <n v="835.0"/>
        <n v="8932.0"/>
        <n v="9015.0"/>
        <n v="1389.0"/>
        <n v="1676.0"/>
        <n v="298.0"/>
        <n v="9701.0"/>
        <n v="4156.0"/>
        <n v="8998.0"/>
        <n v="3528.0"/>
        <n v="8269.0"/>
        <n v="6842.0"/>
        <n v="4330.0"/>
        <n v="9838.0"/>
        <n v="6069.0"/>
        <n v="9662.0"/>
        <n v="4907.0"/>
        <n v="1244.0"/>
        <n v="1761.0"/>
        <n v="8562.0"/>
        <n v="6922.0"/>
        <n v="6585.0"/>
        <n v="3180.0"/>
        <n v="4102.0"/>
        <n v="2033.0"/>
        <n v="710.0"/>
        <n v="7253.0"/>
        <n v="4730.0"/>
        <n v="5384.0"/>
        <n v="135.0"/>
        <n v="6096.0"/>
        <n v="7467.0"/>
        <n v="1394.0"/>
        <n v="5769.0"/>
        <n v="9317.0"/>
        <n v="5020.0"/>
        <n v="1384.0"/>
        <n v="6663.0"/>
        <n v="6183.0"/>
        <n v="2510.0"/>
        <n v="5294.0"/>
        <n v="4369.0"/>
        <n v="8192.0"/>
        <n v="5796.0"/>
        <n v="5366.0"/>
        <n v="167.0"/>
        <n v="6923.0"/>
        <n v="1470.0"/>
        <n v="4806.0"/>
        <n v="3623.0"/>
        <n v="5899.0"/>
        <n v="6957.0"/>
        <n v="554.0"/>
        <n v="5522.0"/>
        <n v="4845.0"/>
        <n v="2150.0"/>
        <n v="6220.0"/>
        <n v="4682.0"/>
        <n v="5975.0"/>
        <n v="7809.0"/>
        <n v="5095.0"/>
        <n v="4076.0"/>
        <n v="4895.0"/>
        <n v="3553.0"/>
        <n v="3727.0"/>
        <n v="9198.0"/>
        <n v="7098.0"/>
        <n v="533.0"/>
        <n v="8109.0"/>
        <n v="6589.0"/>
        <n v="9526.0"/>
        <n v="2171.0"/>
        <n v="1079.0"/>
        <n v="8671.0"/>
        <n v="214.0"/>
        <n v="1992.0"/>
        <n v="2101.0"/>
        <n v="9126.0"/>
        <n v="2202.0"/>
        <n v="1019.0"/>
        <n v="9802.0"/>
        <n v="9157.0"/>
        <n v="973.0"/>
        <n v="9166.0"/>
        <n v="1027.0"/>
        <n v="4080.0"/>
        <n v="7727.0"/>
        <n v="6801.0"/>
        <n v="3305.0"/>
        <n v="8096.0"/>
        <n v="3693.0"/>
        <n v="2884.0"/>
        <n v="4890.0"/>
        <n v="3779.0"/>
        <n v="8248.0"/>
        <n v="6164.0"/>
        <n v="406.0"/>
        <n v="2170.0"/>
        <n v="8513.0"/>
        <n v="2490.0"/>
        <n v="7027.0"/>
        <n v="9586.0"/>
        <n v="6725.0"/>
        <n v="6748.0"/>
        <n v="4639.0"/>
        <n v="7976.0"/>
        <n v="7599.0"/>
        <n v="7780.0"/>
        <n v="9155.0"/>
        <n v="2179.0"/>
        <n v="6937.0"/>
        <n v="5707.0"/>
        <n v="3731.0"/>
        <n v="9216.0"/>
        <n v="334.0"/>
        <n v="9224.0"/>
        <n v="721.0"/>
        <n v="7652.0"/>
        <n v="2157.0"/>
        <n v="2017.0"/>
        <n v="3362.0"/>
        <n v="2725.0"/>
        <n v="7868.0"/>
        <n v="316.0"/>
        <n v="1173.0"/>
        <n v="9590.0"/>
        <n v="1073.0"/>
        <n v="8693.0"/>
        <n v="8134.0"/>
        <n v="3436.0"/>
        <n v="5258.0"/>
        <n v="8439.0"/>
        <n v="3946.0"/>
        <n v="3412.0"/>
        <n v="1509.0"/>
        <n v="8976.0"/>
        <n v="4315.0"/>
        <n v="579.0"/>
        <n v="6333.0"/>
        <n v="4528.0"/>
        <n v="2209.0"/>
        <n v="3845.0"/>
        <n v="803.0"/>
        <n v="2767.0"/>
        <n v="7549.0"/>
        <n v="6080.0"/>
        <n v="7793.0"/>
        <n v="665.0"/>
        <n v="4084.0"/>
        <n v="8941.0"/>
        <n v="248.0"/>
        <n v="1756.0"/>
        <n v="9548.0"/>
        <n v="590.0"/>
        <n v="1093.0"/>
        <n v="2586.0"/>
        <n v="829.0"/>
        <n v="1655.0"/>
        <n v="3268.0"/>
        <n v="2068.0"/>
        <n v="9885.0"/>
        <n v="8806.0"/>
        <n v="827.0"/>
        <n v="7434.0"/>
        <n v="5931.0"/>
        <n v="9750.0"/>
        <n v="9669.0"/>
        <n v="7513.0"/>
        <n v="2983.0"/>
        <n v="9655.0"/>
        <n v="768.0"/>
        <n v="7277.0"/>
        <n v="959.0"/>
        <n v="4170.0"/>
        <n v="5370.0"/>
        <n v="7048.0"/>
        <n v="8422.0"/>
        <n v="700.0"/>
        <n v="5469.0"/>
        <n v="692.0"/>
        <n v="902.0"/>
        <n v="4878.0"/>
        <n v="991.0"/>
        <n v="1441.0"/>
        <n v="9426.0"/>
        <n v="9183.0"/>
        <n v="3568.0"/>
        <n v="9508.0"/>
        <n v="9690.0"/>
        <n v="277.0"/>
        <n v="3307.0"/>
        <n v="497.0"/>
        <n v="7192.0"/>
        <n v="8787.0"/>
        <n v="5031.0"/>
        <n v="3630.0"/>
        <n v="2525.0"/>
        <n v="3110.0"/>
        <n v="4427.0"/>
        <n v="5813.0"/>
        <n v="9563.0"/>
        <n v="4178.0"/>
        <n v="2926.0"/>
        <n v="5362.0"/>
        <n v="3435.0"/>
        <n v="9030.0"/>
        <n v="3785.0"/>
        <n v="4488.0"/>
        <n v="6352.0"/>
        <n v="491.0"/>
        <n v="2912.0"/>
        <n v="7132.0"/>
        <n v="6963.0"/>
        <n v="694.0"/>
        <n v="9956.0"/>
        <n v="3739.0"/>
        <n v="7238.0"/>
        <n v="1868.0"/>
        <n v="9406.0"/>
        <n v="328.0"/>
        <n v="8723.0"/>
        <n v="4526.0"/>
        <n v="1336.0"/>
        <n v="674.0"/>
        <n v="7920.0"/>
        <n v="7985.0"/>
        <n v="830.0"/>
        <n v="7273.0"/>
        <n v="2445.0"/>
        <n v="4903.0"/>
        <n v="1059.0"/>
        <n v="9085.0"/>
        <n v="5724.0"/>
        <n v="8670.0"/>
        <n v="163.0"/>
        <n v="6770.0"/>
        <n v="678.0"/>
        <n v="6013.0"/>
        <n v="6976.0"/>
        <n v="4049.0"/>
        <n v="6142.0"/>
        <n v="9509.0"/>
        <n v="9381.0"/>
        <n v="6828.0"/>
        <n v="3561.0"/>
        <n v="6456.0"/>
        <n v="5645.0"/>
        <n v="5155.0"/>
        <n v="9638.0"/>
        <n v="6042.0"/>
        <n v="5491.0"/>
        <n v="7856.0"/>
        <n v="2210.0"/>
        <n v="4123.0"/>
        <n v="8078.0"/>
        <n v="9852.0"/>
        <n v="1510.0"/>
        <n v="6225.0"/>
        <n v="1736.0"/>
        <n v="4489.0"/>
        <n v="7200.0"/>
        <n v="1084.0"/>
        <n v="3666.0"/>
        <n v="2055.0"/>
        <n v="1231.0"/>
        <n v="8156.0"/>
        <n v="259.0"/>
        <n v="2459.0"/>
        <n v="2376.0"/>
        <n v="552.0"/>
        <n v="8869.0"/>
        <n v="466.0"/>
        <n v="5539.0"/>
        <n v="1128.0"/>
        <n v="5918.0"/>
        <n v="6430.0"/>
        <n v="187.0"/>
        <n v="5676.0"/>
        <n v="2789.0"/>
        <n v="1696.0"/>
        <n v="5132.0"/>
        <n v="7994.0"/>
        <n v="3230.0"/>
        <n v="3503.0"/>
        <n v="2673.0"/>
        <n v="2018.0"/>
        <n v="345.0"/>
        <n v="4368.0"/>
        <n v="8036.0"/>
        <n v="7272.0"/>
        <n v="5993.0"/>
        <n v="183.0"/>
        <n v="564.0"/>
        <n v="3200.0"/>
        <n v="4485.0"/>
        <n v="2126.0"/>
        <n v="1012.0"/>
        <n v="1032.0"/>
        <n v="8098.0"/>
        <n v="8133.0"/>
        <n v="9269.0"/>
        <n v="1924.0"/>
        <n v="1567.0"/>
        <n v="7112.0"/>
        <n v="1300.0"/>
        <n v="3325.0"/>
        <n v="6342.0"/>
        <n v="3384.0"/>
        <n v="4991.0"/>
        <n v="606.0"/>
        <n v="7845.0"/>
        <n v="4279.0"/>
        <n v="7670.0"/>
        <n v="6694.0"/>
        <n v="4645.0"/>
        <n v="5542.0"/>
        <n v="5710.0"/>
        <n v="4273.0"/>
        <n v="4671.0"/>
        <n v="5451.0"/>
        <n v="8721.0"/>
        <n v="885.0"/>
        <n v="2093.0"/>
        <n v="4361.0"/>
        <n v="2233.0"/>
        <n v="681.0"/>
        <n v="9567.0"/>
        <n v="6300.0"/>
        <n v="4299.0"/>
        <n v="2118.0"/>
        <n v="8030.0"/>
        <n v="7234.0"/>
      </sharedItems>
    </cacheField>
    <cacheField name="quantity" numFmtId="1">
      <sharedItems containsSemiMixedTypes="0" containsString="0" containsNumber="1" containsInteger="1">
        <n v="4.0"/>
        <n v="3.0"/>
        <n v="1.0"/>
        <n v="2.0"/>
      </sharedItems>
    </cacheField>
    <cacheField name="discount" numFmtId="9">
      <sharedItems containsSemiMixedTypes="0" containsString="0" containsNumber="1">
        <n v="0.16"/>
        <n v="0.07"/>
        <n v="0.08"/>
        <n v="0.11"/>
        <n v="0.09"/>
        <n v="0.12"/>
        <n v="0.06"/>
        <n v="0.14"/>
        <n v="0.18"/>
        <n v="0.1"/>
        <n v="0.05"/>
        <n v="0.15"/>
        <n v="0.17"/>
        <n v="0.13"/>
        <n v="0.2"/>
        <n v="0.19"/>
      </sharedItems>
    </cacheField>
    <cacheField name="payment_method" numFmtId="49">
      <sharedItems>
        <s v="Credit Card"/>
        <s v="COD"/>
        <s v="PayPal"/>
        <s v="Bank Transfer"/>
      </sharedItems>
    </cacheField>
    <cacheField name="delivery_status" numFmtId="49">
      <sharedItems>
        <s v="Cancelled"/>
        <s v="Delivered"/>
        <s v="Pending"/>
        <s v="Returned"/>
      </sharedItems>
    </cacheField>
    <cacheField name="country" numFmtId="49">
      <sharedItems>
        <s v="Germany"/>
        <s v="UK"/>
        <s v="USA"/>
        <s v="India"/>
        <s v="France"/>
      </sharedItems>
    </cacheField>
    <cacheField name="device" numFmtId="49">
      <sharedItems>
        <s v="Mobile"/>
        <s v="Tablet"/>
        <s v="Desktop"/>
      </sharedItems>
    </cacheField>
    <cacheField name="total" numFmtId="4">
      <sharedItems containsSemiMixedTypes="0" containsString="0" containsNumber="1">
        <n v="5033.28"/>
        <n v="18757.17"/>
        <n v="6110.1"/>
        <n v="18285.0"/>
        <n v="2794.6"/>
        <n v="15415.4"/>
        <n v="5471.84"/>
        <n v="14078.4"/>
        <n v="7515.3"/>
        <n v="7154.84"/>
        <n v="1972.12"/>
        <n v="12386.58"/>
        <n v="13562.64"/>
        <n v="12560.76"/>
        <n v="34955.64"/>
        <n v="4566.6"/>
        <n v="1381.38"/>
        <n v="21443.94"/>
        <n v="5683.23"/>
        <n v="3338.88"/>
        <n v="10652.22"/>
        <n v="12096.16"/>
        <n v="20625.3"/>
        <n v="19105.92"/>
        <n v="9818.25"/>
        <n v="7408.36"/>
        <n v="35595.92"/>
        <n v="6978.5"/>
        <n v="16612.64"/>
        <n v="23534.72"/>
        <n v="33274.56"/>
        <n v="17791.38"/>
        <n v="1505.88"/>
        <n v="26315.52"/>
        <n v="24136.2"/>
        <n v="10237.44"/>
        <n v="17610.48"/>
        <n v="8191.8"/>
        <n v="6222.88"/>
        <n v="15888.12"/>
        <n v="7010.64"/>
        <n v="7479.42"/>
        <n v="9052.2"/>
        <n v="9937.95"/>
        <n v="7896.4"/>
        <n v="13685.8"/>
        <n v="8598.8"/>
        <n v="8053.2"/>
        <n v="10240.8"/>
        <n v="6731.19"/>
        <n v="27466.56"/>
        <n v="13987.8"/>
        <n v="4947.76"/>
        <n v="3099.44"/>
        <n v="16426.41"/>
        <n v="4327.62"/>
        <n v="8517.6"/>
        <n v="7687.8"/>
        <n v="15971.5"/>
        <n v="28166.55"/>
        <n v="16063.2"/>
        <n v="23893.5"/>
        <n v="15049.76"/>
        <n v="31035.68"/>
        <n v="13172.56"/>
        <n v="29658.72"/>
        <n v="19735.74"/>
        <n v="971.52"/>
        <n v="3407.36"/>
        <n v="18457.84"/>
        <n v="6819.04"/>
        <n v="14612.52"/>
        <n v="17709.6"/>
        <n v="5529.6"/>
        <n v="6111.63"/>
        <n v="12796.92"/>
        <n v="10711.98"/>
        <n v="1448.35"/>
        <n v="22713.69"/>
        <n v="8116.2"/>
        <n v="15429.12"/>
        <n v="6477.32"/>
        <n v="6916.0"/>
        <n v="18867.0"/>
        <n v="6125.67"/>
        <n v="21121.48"/>
        <n v="3822.84"/>
        <n v="509.12"/>
        <n v="18811.8"/>
        <n v="3713.16"/>
        <n v="1604.25"/>
        <n v="7251.72"/>
        <n v="7730.54"/>
        <n v="16868.43"/>
        <n v="1185.73"/>
        <n v="28317.6"/>
        <n v="32835.8"/>
        <n v="7728.3"/>
        <n v="4129.58"/>
        <n v="10320.0"/>
        <n v="5470.4"/>
        <n v="17244.06"/>
        <n v="7583.03"/>
        <n v="706.88"/>
        <n v="7098.03"/>
        <n v="11180.0"/>
        <n v="10613.12"/>
        <n v="19949.88"/>
        <n v="10998.33"/>
        <n v="1134.3"/>
        <n v="23939.52"/>
        <n v="10928.8"/>
        <n v="17159.52"/>
        <n v="16290.12"/>
        <n v="2848.56"/>
        <n v="25154.1"/>
        <n v="8719.88"/>
        <n v="7385.6"/>
        <n v="1219.05"/>
        <n v="7245.04"/>
        <n v="2200.08"/>
        <n v="23695.2"/>
        <n v="7499.52"/>
        <n v="9234.84"/>
        <n v="12344.64"/>
        <n v="7667.52"/>
        <n v="4945.97"/>
        <n v="17907.0"/>
        <n v="26076.48"/>
        <n v="13158.0"/>
        <n v="2582.58"/>
        <n v="3150.84"/>
        <n v="6752.94"/>
        <n v="8235.26"/>
        <n v="2758.92"/>
        <n v="8446.92"/>
        <n v="7918.2"/>
        <n v="1385.8"/>
        <n v="7720.8"/>
        <n v="4716.0"/>
        <n v="15290.8"/>
        <n v="3551.1"/>
        <n v="3054.25"/>
        <n v="3564.39"/>
        <n v="1932.0"/>
        <n v="14315.84"/>
        <n v="11355.2"/>
        <n v="8075.86"/>
        <n v="12654.24"/>
        <n v="5780.28"/>
        <n v="18192.6"/>
        <n v="3690.36"/>
        <n v="7168.64"/>
        <n v="609.6"/>
        <n v="5506.3"/>
        <n v="8771.76"/>
        <n v="7870.89"/>
        <n v="2042.55"/>
        <n v="1826.85"/>
        <n v="1405.92"/>
        <n v="20919.6"/>
        <n v="10866.6"/>
        <n v="4527.25"/>
        <n v="7730.96"/>
        <n v="859.74"/>
        <n v="3937.92"/>
        <n v="1632.85"/>
        <n v="1909.0"/>
        <n v="25264.38"/>
        <n v="21523.76"/>
        <n v="4550.06"/>
        <n v="23474.88"/>
        <n v="7283.2"/>
        <n v="2688.69"/>
        <n v="5068.55"/>
        <n v="14917.5"/>
        <n v="28446.6"/>
        <n v="13741.2"/>
        <n v="29930.56"/>
        <n v="25224.32"/>
        <n v="11665.62"/>
        <n v="18252.0"/>
        <n v="31876.32"/>
        <n v="17490.45"/>
        <n v="3014.88"/>
        <n v="19894.02"/>
        <n v="5047.74"/>
        <n v="1613.64"/>
        <n v="22998.4"/>
        <n v="12360.36"/>
        <n v="1130.78"/>
        <n v="198.45"/>
        <n v="5662.7"/>
        <n v="2180.8"/>
        <n v="14258.43"/>
        <n v="10783.5"/>
        <n v="2855.15"/>
        <n v="31775.88"/>
        <n v="24290.76"/>
        <n v="17271.56"/>
        <n v="29283.84"/>
        <n v="3792.54"/>
        <n v="13468.8"/>
        <n v="6773.64"/>
        <n v="10317.12"/>
        <n v="20957.34"/>
        <n v="14111.01"/>
        <n v="5967.78"/>
        <n v="26011.14"/>
        <n v="4306.5"/>
        <n v="10562.1"/>
        <n v="7981.28"/>
        <n v="21276.0"/>
        <n v="13067.2"/>
        <n v="19958.85"/>
        <n v="9999.99"/>
        <n v="10776.66"/>
        <n v="23255.96"/>
        <n v="19030.59"/>
        <n v="6647.15"/>
        <n v="3114.92"/>
        <n v="14299.74"/>
        <n v="19883.4"/>
        <n v="7871.72"/>
        <n v="14911.36"/>
        <n v="4901.6"/>
        <n v="1226.74"/>
        <n v="14259.24"/>
        <n v="17175.92"/>
        <n v="16051.2"/>
        <n v="16892.52"/>
        <n v="6557.52"/>
        <n v="8626.92"/>
        <n v="30610.4"/>
        <n v="5501.24"/>
        <n v="13745.6"/>
        <n v="8525.31"/>
        <n v="12039.15"/>
        <n v="1744.4"/>
        <n v="11948.84"/>
        <n v="6346.8"/>
        <n v="1705.25"/>
        <n v="7339.82"/>
        <n v="552.0"/>
        <n v="14544.0"/>
        <n v="9896.58"/>
        <n v="1053.69"/>
        <n v="7079.9"/>
        <n v="8057.32"/>
        <n v="2154.3"/>
        <n v="24116.4"/>
        <n v="16002.0"/>
        <n v="29569.2"/>
        <n v="5222.64"/>
        <n v="2882.72"/>
        <n v="524.48"/>
        <n v="36087.72"/>
        <n v="7730.16"/>
        <n v="32032.88"/>
        <n v="3351.6"/>
        <n v="7772.86"/>
        <n v="984.48"/>
        <n v="6363.06"/>
        <n v="10781.7"/>
        <n v="27743.16"/>
        <n v="5644.17"/>
        <n v="16811.88"/>
        <n v="4661.65"/>
        <n v="2363.6"/>
        <n v="4437.72"/>
        <n v="28425.84"/>
        <n v="18689.4"/>
        <n v="21072.0"/>
        <n v="5469.6"/>
        <n v="3773.84"/>
        <n v="6993.52"/>
        <n v="2612.8"/>
        <n v="6527.7"/>
        <n v="7662.6"/>
        <n v="4791.76"/>
        <n v="113.4"/>
        <n v="17373.6"/>
        <n v="13589.94"/>
        <n v="5129.92"/>
        <n v="5480.55"/>
        <n v="23199.33"/>
        <n v="18674.4"/>
        <n v="1162.56"/>
        <n v="5397.03"/>
        <n v="11376.72"/>
        <n v="2259.0"/>
        <n v="18634.88"/>
        <n v="16602.2"/>
        <n v="20152.32"/>
        <n v="5274.36"/>
        <n v="18244.4"/>
        <n v="307.28"/>
        <n v="25476.64"/>
        <n v="1264.2"/>
        <n v="3940.92"/>
        <n v="5796.8"/>
        <n v="4837.18"/>
        <n v="6261.3"/>
        <n v="963.96"/>
        <n v="19216.56"/>
        <n v="4457.4"/>
        <n v="5160.0"/>
        <n v="5411.4"/>
        <n v="4166.98"/>
        <n v="10635.5"/>
        <n v="14524.74"/>
        <n v="8152.0"/>
        <n v="7581.36"/>
        <n v="3964.95"/>
        <n v="9593.1"/>
        <n v="12522.72"/>
        <n v="25662.42"/>
        <n v="19803.42"/>
        <n v="959.4"/>
        <n v="6730.47"/>
        <n v="5864.21"/>
        <n v="8859.18"/>
        <n v="7294.56"/>
        <n v="3042.78"/>
        <n v="29828.24"/>
        <n v="744.72"/>
        <n v="4900.32"/>
        <n v="7731.68"/>
        <n v="17156.88"/>
        <n v="6011.46"/>
        <n v="2812.44"/>
        <n v="27641.64"/>
        <n v="21976.8"/>
        <n v="885.43"/>
        <n v="32997.6"/>
        <n v="3327.48"/>
        <n v="15340.8"/>
        <n v="19008.42"/>
        <n v="22579.32"/>
        <n v="12162.4"/>
        <n v="22587.84"/>
        <n v="13294.8"/>
        <n v="7873.32"/>
        <n v="12909.6"/>
        <n v="9976.56"/>
        <n v="20537.52"/>
        <n v="5018.16"/>
        <n v="20217.92"/>
        <n v="1380.4"/>
        <n v="3949.4"/>
        <n v="30646.8"/>
        <n v="2166.3"/>
        <n v="12367.52"/>
        <n v="7764.66"/>
        <n v="10760.0"/>
        <n v="12011.44"/>
        <n v="7607.96"/>
        <n v="28075.52"/>
        <n v="26140.56"/>
        <n v="6924.2"/>
        <n v="8605.7"/>
        <n v="3965.78"/>
        <n v="13180.3"/>
        <n v="4622.67"/>
        <n v="3059.42"/>
        <n v="17326.08"/>
        <n v="581.16"/>
        <n v="16049.76"/>
        <n v="1312.22"/>
        <n v="6198.12"/>
        <n v="5565.06"/>
        <n v="1653.94"/>
        <n v="2723.22"/>
        <n v="7602.75"/>
        <n v="20299.44"/>
        <n v="1011.2"/>
        <n v="3847.44"/>
        <n v="9014.6"/>
        <n v="965.7"/>
        <n v="17212.62"/>
        <n v="23731.89"/>
        <n v="29933.12"/>
        <n v="11957.28"/>
        <n v="12776.94"/>
        <n v="7257.54"/>
        <n v="6313.6"/>
        <n v="8700.6"/>
        <n v="2625.66"/>
        <n v="15259.2"/>
        <n v="3710.9"/>
        <n v="463.2"/>
        <n v="12032.7"/>
        <n v="17025.28"/>
        <n v="1988.1"/>
        <n v="14149.6"/>
        <n v="2119.92"/>
        <n v="7138.86"/>
        <n v="12531.34"/>
        <n v="10822.4"/>
        <n v="21508.68"/>
        <n v="4860.36"/>
        <n v="1143.8"/>
        <n v="10659.24"/>
        <n v="7152.8"/>
        <n v="203.36"/>
        <n v="35023.28"/>
        <n v="6321.6"/>
        <n v="16995.44"/>
        <n v="7716.85"/>
        <n v="1026.6"/>
        <n v="4109.68"/>
        <n v="2379.12"/>
        <n v="688.07"/>
        <n v="6090.4"/>
        <n v="5620.96"/>
        <n v="6783.04"/>
        <n v="37167.6"/>
        <n v="22983.66"/>
        <n v="1455.52"/>
        <n v="13827.24"/>
        <n v="16725.42"/>
        <n v="8190.0"/>
        <n v="32874.6"/>
        <n v="25844.72"/>
        <n v="5309.74"/>
        <n v="16606.6"/>
        <n v="1320.96"/>
        <n v="6840.38"/>
        <n v="911.05"/>
        <n v="15679.2"/>
        <n v="14176.8"/>
        <n v="11981.6"/>
        <n v="21476.1"/>
        <n v="2464.0"/>
        <n v="20782.2"/>
        <n v="1785.36"/>
        <n v="1443.2"/>
        <n v="17560.8"/>
        <n v="3329.76"/>
        <n v="2449.7"/>
        <n v="33933.6"/>
        <n v="31222.2"/>
        <n v="10061.76"/>
        <n v="7701.48"/>
        <n v="35271.6"/>
        <n v="1052.6"/>
        <n v="8135.22"/>
        <n v="397.6"/>
        <n v="5753.6"/>
        <n v="21616.02"/>
        <n v="18916.56"/>
        <n v="6751.8"/>
        <n v="6969.0"/>
        <n v="7557.3"/>
        <n v="3851.49"/>
        <n v="14474.37"/>
        <n v="16448.36"/>
        <n v="10779.24"/>
        <n v="8163.54"/>
        <n v="4664.94"/>
        <n v="6389.1"/>
        <n v="14989.8"/>
        <n v="13626.0"/>
        <n v="4218.72"/>
        <n v="11687.68"/>
        <n v="854.34"/>
        <n v="7250.88"/>
        <n v="24534.08"/>
        <n v="6614.85"/>
        <n v="1276.96"/>
        <n v="35045.12"/>
        <n v="3552.05"/>
        <n v="18891.18"/>
        <n v="3325.04"/>
        <n v="34614.08"/>
        <n v="301.76"/>
        <n v="16573.7"/>
        <n v="3756.58"/>
        <n v="3567.12"/>
        <n v="1920.9"/>
        <n v="11437.4"/>
        <n v="26928.0"/>
        <n v="15011.8"/>
        <n v="2689.2"/>
        <n v="12655.02"/>
        <n v="2053.8"/>
        <n v="8335.1"/>
        <n v="2636.91"/>
        <n v="9063.0"/>
        <n v="33069.4"/>
        <n v="13737.6"/>
        <n v="14045.4"/>
        <n v="141.81"/>
        <n v="17669.7"/>
        <n v="1627.2"/>
        <n v="11184.18"/>
        <n v="12696.32"/>
        <n v="7369.18"/>
        <n v="11669.8"/>
        <n v="8177.74"/>
        <n v="17823.9"/>
        <n v="22395.84"/>
        <n v="3026.85"/>
        <n v="6068.64"/>
        <n v="29733.0"/>
        <n v="15410.85"/>
        <n v="19382.8"/>
        <n v="24287.76"/>
        <n v="10392.24"/>
        <n v="4461.6"/>
        <n v="18010.48"/>
        <n v="7227.52"/>
        <n v="7072.0"/>
        <n v="7668.78"/>
        <n v="14863.52"/>
        <n v="16945.44"/>
        <n v="4892.4"/>
        <n v="610.08"/>
        <n v="15687.0"/>
        <n v="3124.8"/>
        <n v="4129.88"/>
        <n v="11664.0"/>
        <n v="2634.12"/>
        <n v="13637.52"/>
        <n v="1890.6"/>
        <n v="4185.4"/>
        <n v="21531.84"/>
        <n v="849.52"/>
        <n v="6417.99"/>
        <n v="6486.48"/>
        <n v="1473.84"/>
        <n v="14190.4"/>
        <n v="1314.12"/>
        <n v="9748.64"/>
        <n v="2007.84"/>
        <n v="21541.52"/>
        <n v="23405.2"/>
        <n v="14359.26"/>
        <n v="613.36"/>
        <n v="4540.8"/>
        <n v="10151.96"/>
        <n v="4375.68"/>
        <n v="17243.52"/>
        <n v="29737.68"/>
        <n v="8817.9"/>
        <n v="9144.9"/>
        <n v="12190.44"/>
        <n v="4437.18"/>
        <n v="6780.48"/>
        <n v="614.1"/>
        <n v="15200.64"/>
        <n v="4128.96"/>
        <n v="13179.04"/>
        <n v="18325.44"/>
        <n v="22054.24"/>
        <n v="166.53"/>
        <n v="2075.52"/>
        <n v="2784.0"/>
        <n v="2745.6"/>
        <n v="4215.9"/>
        <n v="3911.84"/>
        <n v="3400.32"/>
        <n v="2507.76"/>
        <n v="15224.24"/>
        <n v="15452.7"/>
        <n v="22801.74"/>
        <n v="16023.04"/>
        <n v="5252.52"/>
        <n v="737.04"/>
        <n v="2883.28"/>
        <n v="5902.96"/>
        <n v="4472.0"/>
        <n v="5985.0"/>
        <n v="23845.92"/>
        <n v="5414.4"/>
        <n v="13176.24"/>
        <n v="1945.44"/>
        <n v="1139.28"/>
        <n v="26673.0"/>
        <n v="3765.52"/>
        <n v="6903.0"/>
        <n v="23830.64"/>
        <n v="15049.8"/>
        <n v="21059.6"/>
        <n v="19870.8"/>
        <n v="8033.24"/>
        <n v="11911.05"/>
        <n v="10356.9"/>
        <n v="8110.53"/>
        <n v="823.05"/>
        <n v="3558.1"/>
        <n v="3968.51"/>
        <n v="3796.1"/>
        <n v="619.71"/>
        <n v="25256.88"/>
        <n v="21168.0"/>
        <n v="3568.17"/>
        <n v="3727.68"/>
        <n v="29229.2"/>
        <n v="13310.56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601" sheet="Data-cleaning"/>
  </cacheSource>
  <cacheFields>
    <cacheField name="order_id" numFmtId="49">
      <sharedItems>
        <s v="e3e70682-c209-4cac-a29f-6fbed82c07cd"/>
        <s v="f728b4fa-4248-4e3a-8a5d-2f346baa9455"/>
        <s v="eb1167b3-67a9-4378-bc65-c1e582e2e662"/>
        <s v="f7c1bd87-4da5-4709-9471-3d60c8a70639"/>
        <s v="e443df78-9558-467f-9ba9-1faf7a024204"/>
        <s v="23a7711a-8133-4876-b7eb-dcd9e87a1613"/>
        <s v="1846d424-c17c-4279-a3c6-612f48268673"/>
        <s v="fcbd04c3-4021-4ef7-8ca5-a5a19e4d6e3c"/>
        <s v="b4862b21-fb97-4435-8856-1712e8e5216a"/>
        <s v="259f4329-e6f4-490b-9a16-4106cf6a659e"/>
        <s v="12e0c8b2-bad6-40fb-9948-8dec4f65d4d9"/>
        <s v="5487ce1e-af19-422a-99b8-a714e61a441c"/>
        <s v="5a921187-19c7-4df4-8f4f-f31e78de5857"/>
        <s v="a3f2c9bf-9c63-46b9-90f2-44556f25e2a2"/>
        <s v="8d723104-f773-43c1-b458-a748e9bb17bc"/>
        <s v="85776e9a-dd84-439e-b154-5a137a1d5006"/>
        <s v="eb2083e6-ce16-4dba-8ff1-8e0242af9fc3"/>
        <s v="17e0aa3c-0398-4ca8-aa7e-9d498c778ea6"/>
        <s v="b5d32b16-6619-4cb1-9710-37d1b83e90ec"/>
        <s v="a0116be5-ab0c-4681-88f8-e3d0d3290a4c"/>
        <s v="d3fbf47a-7e5b-4e7f-9ca5-499d004ae545"/>
        <s v="baf3897a-3e70-416a-9548-5822de1b372a"/>
        <s v="101fbccc-ded7-43e8-b421-eaeb534097ca"/>
        <s v="38c1962e-9148-424f-aac1-c14f30e9c5cc"/>
        <s v="247a8333-f7b0-47d2-8da8-056c3d15eef7"/>
        <s v="1759edc3-72ae-4244-8b01-63c1cd9d2b7d"/>
        <s v="e005b860-51ef-4922-be43-c49e149818d1"/>
        <s v="7d41e602-eece-428b-bf7b-118e820865d6"/>
        <s v="4a84eb03-8d1f-49b7-8d2b-9deb1beb3711"/>
        <s v="552f233a-8c25-466a-9ff3-9849b4e1357d"/>
        <s v="3405095c-8a50-46c1-ac18-8efbd080e66e"/>
        <s v="8c1745a7-9a6a-4f92-8ca7-4147f6be1f72"/>
        <s v="1775336d-71ea-4d05-89a3-e80e966e1277"/>
        <s v="5129fb7c-6288-41a5-8c45-782198a6416d"/>
        <s v="2f120554-4a53-48cc-bdfa-bc08935ddd72"/>
        <s v="0870e15c-2fcd-41b5-924b-ace4307bf326"/>
        <s v="42930b33-a81a-4477-bb36-75b89cdeb3e6"/>
        <s v="adc0da7a-16fe-4aa0-91af-923d79fdef7c"/>
        <s v="2648ee38-e074-45eb-a156-63abc1f254b8"/>
        <s v="148b2758-d7ab-4928-89e4-69e6ec62b2c8"/>
        <s v="d450fe4a-ec4f-417b-b306-d1a8e5eeac76"/>
        <s v="d67e55fd-642b-4a42-aef9-c00b8a64c1b9"/>
        <s v="85940927-468f-453d-864a-7a50b48d73f1"/>
        <s v="37176e84-d977-4993-bc49-d76fcfc6e625"/>
        <s v="d3447490-96fd-45d0-adf2-0806e5214606"/>
        <s v="46743741-9466-4472-ab5f-5241f323ca74"/>
        <s v="a425799a-a905-4750-be1e-a9c573581a81"/>
        <s v="fb82860d-eabc-48d0-b341-facdff0ac0f1"/>
        <s v="5306f3f5-1516-4570-9b7c-709acb175a5a"/>
        <s v="964a870c-7c87-4b74-9d87-8f9f9cdf5a86"/>
        <s v="30bcab0e-d857-4102-95d4-4936a1515607"/>
        <s v="4562be7f-bb42-40b2-8426-465e3e37952d"/>
        <s v="5f3f5638-3870-4a14-b490-b6081dfc8352"/>
        <s v="6d16ee18-5521-46dd-aba4-b180cb69ca38"/>
        <s v="c87a7463-19c1-4a0d-8feb-d845d0dfae43"/>
        <s v="38018b47-b29a-4b06-9af6-6c5f2577bffa"/>
        <s v="a25b59fd-92e8-4269-912e-cbc40b9475b1"/>
        <s v="9a27d858-88c1-42ad-afbf-c19ee8f6cf32"/>
        <s v="1fdb8b32-06d5-49e8-92f1-75ffae3b16ec"/>
        <s v="d480865f-9b38-4e80-b042-e325a28f5ab0"/>
        <s v="176ea1b1-6426-4cd5-9ea4-5cd69371a71f"/>
        <s v="1db53334-fb03-43a1-9576-d4155ec17dbe"/>
        <s v="31d0b664-0589-4877-9b02-52440950fd13"/>
        <s v="b7d6467b-2f5a-422a-b87f-43fdf6062541"/>
        <s v="ba26d851-35e8-479a-baaf-0e891fb797fa"/>
        <s v="ade9b2b4-efdd-45f8-8fa3-4266ccfdba9b"/>
        <s v="9edfa3da-6cf5-4b15-8b53-031d05d51433"/>
        <s v="11ebcd49-428a-4c22-95fd-b76a19fbeb1d"/>
        <s v="4d125e7f-a59c-4c98-926c-bc8f38884479"/>
        <s v="0fa07a3f-2e29-4065-afa2-31e959acdd98"/>
        <s v="98b33c6e-0a14-490a-b795-e98680ee526e"/>
        <s v="642aad48-fcfc-4a81-b306-d70019d5f970"/>
        <s v="e786ab37-5bca-47be-8298-17c53308fb2e"/>
        <s v="e6fd68e8-d69c-41c2-b860-1602bb4a06cb"/>
        <s v="b29c467d-2b5f-4932-91dc-59efeb21a3f6"/>
        <s v="c470f0e7-f76f-4fb8-b412-fc12ac322c12"/>
        <s v="28805c5d-ad1b-4f60-89e4-dab20edc6d2b"/>
        <s v="878b9f6b-57a1-4b71-a975-d279d86dbf11"/>
        <s v="ebe21368-98c7-4205-9e01-a934402d0baf"/>
        <s v="0361524c-2cc0-4859-aa65-24ab713b7e05"/>
        <s v="e66cd36e-68ef-4f5f-ae68-690a78bc7175"/>
        <s v="eae2025e-8233-4e23-9ff3-334b91b15f5d"/>
        <s v="637e0edc-5b6e-4ae7-a620-81434fbaecc0"/>
        <s v="27460f22-403d-4f83-a859-890cd670f668"/>
        <s v="753c7c99-032f-46ca-b0d9-c2aa8f837ef7"/>
        <s v="bd30291a-55fe-408e-943e-2e04bdd7d19b"/>
        <s v="2284b7a4-47e7-4593-8b58-85ca0bb2c3f0"/>
        <s v="7b59051b-f400-48d7-831d-5a973d792fa1"/>
        <s v="ac642b4c-49b2-4ded-9c31-d9b25a2b745b"/>
        <s v="e456697c-f268-4baa-971c-702d5bf49c04"/>
        <s v="21e15094-9efe-4464-9a90-f534a23d4c9d"/>
        <s v="bf9cc545-6355-48f7-8f6f-a985b732d46f"/>
        <s v="14aa451c-a69c-4b85-9432-f8db6a174c1c"/>
        <s v="b2d650af-313b-42b7-9836-31890063e42f"/>
        <s v="391cf046-3d4a-4d51-a8fa-fd04559b5975"/>
        <s v="b5d97ef7-60ef-4471-b2b8-ff39a32c9b6f"/>
        <s v="dfe1b307-9172-4f0a-ac7c-8803e01bbf50"/>
        <s v="df26f517-66fa-4989-8813-5d586a1689ad"/>
        <s v="c5adf681-6b10-453a-9145-de05b3ab1b2c"/>
        <s v="2a69acc7-0bf9-40ef-b581-6b74a985ab61"/>
        <s v="b3969057-425c-4200-905a-da6b720299e3"/>
        <s v="e28bc9ff-870f-484c-b244-f536285e25b4"/>
        <s v="9a9e4310-8fb8-4bab-a875-4cd37cbd7025"/>
        <s v="09f6048f-e245-4460-8004-884cc167733f"/>
        <s v="d675ebf7-4fe3-4c9a-9371-0f577e9cf84f"/>
        <s v="d29dc5df-cf1d-4110-8cc3-6d8c77863fe5"/>
        <s v="6a46721a-cffa-4cdd-b963-a7efe00111e5"/>
        <s v="f689a4a5-ffda-4336-8c6e-90373020da5c"/>
        <s v="d663049d-155e-48b1-ba83-ada4a2121ac5"/>
        <s v="03c54c71-fca0-4536-a169-df82b9bdee2d"/>
        <s v="6ae04d52-adb3-48cb-b315-8c0c66dd7794"/>
        <s v="03a89879-36a9-4d74-80de-59f550f0fc2b"/>
        <s v="faf1501b-009a-415b-8137-8be5b7a28e0a"/>
        <s v="9cb017c1-8741-4e91-acfe-bb4bd29e8693"/>
        <s v="9bbd750d-1e70-4c52-b0c1-fb6a19086515"/>
        <s v="4d6b234f-dfa7-46ed-b2d1-f81ba636425c"/>
        <s v="2ea60b99-fa7f-48bf-b044-284a47acf2f6"/>
        <s v="ec3aa314-da9b-4017-b9c1-47c719a5711b"/>
        <s v="0597aab6-14d3-4dbc-a0ac-f4c9658de17e"/>
        <s v="ccc14d51-73f6-40d8-a9f4-1cc04653a560"/>
        <s v="41a93f90-dc82-4527-9da3-b7e2cad6e514"/>
        <s v="d138d150-8557-416a-a750-2a812227d96d"/>
        <s v="1d77ce40-58d8-4776-a51a-d4f3a699bae0"/>
        <s v="d9ead926-4745-4d9e-a789-6389df3277fd"/>
        <s v="34ab18fd-0a68-488e-8ad4-041504c14982"/>
        <s v="50910bdc-8ef0-46d4-8279-b14dae55cdff"/>
        <s v="914591ae-f03d-466a-9dec-c06af24dfdd8"/>
        <s v="d8ab0b30-0ac0-4f0d-9974-c146e8ec01b3"/>
        <s v="9b8b71a1-b38a-45fb-b611-64cebfc74ca9"/>
        <s v="a4e695c9-b65d-4226-be96-9cf3a7c5cb87"/>
        <s v="6f790959-a3e0-4b3b-b56b-0715e7180322"/>
        <s v="2da44da1-89b5-4368-9f14-c6125f58d5b5"/>
        <s v="4a814d53-964d-4b77-a025-f0ae35354579"/>
        <s v="4578bab3-26a9-4465-a371-ea2c0247145f"/>
        <s v="5e00ea6d-ca24-4e4d-9667-2017555a4085"/>
        <s v="c787ddfb-5697-417c-97fd-3736b7ef941c"/>
        <s v="4505f4f6-0a8c-46c7-8921-5f4f9edb95f2"/>
        <s v="955d0e77-fb5e-4866-a640-211e29f2c3c7"/>
        <s v="fd42f697-6511-4656-9c64-60364a1eb1b7"/>
        <s v="1d69d9fc-4b1c-48bd-a130-260c8c69778f"/>
        <s v="ef0a81ed-3d5d-40bc-bb03-78eb7a62722e"/>
        <s v="db66bfda-2df9-4747-8ed1-35530c5a876f"/>
        <s v="4d7bd307-1224-41e6-ba89-82dd85e69ea9"/>
        <s v="4c9a0ae1-5419-4efc-95e7-3e3f673617d9"/>
        <s v="8f928dc5-1972-4ce3-9bd0-94486a2b3200"/>
        <s v="564ae909-7958-4e69-bb2e-1b82e89dc815"/>
        <s v="cff4c56b-f9ea-4c64-8c41-7e7cd741d609"/>
        <s v="1db2b452-7aa5-4a18-9fd3-c01757f98d1e"/>
        <s v="09aedbd0-6d31-4b4a-bf6b-8793b318ad4c"/>
        <s v="afe6790a-bc18-440b-95c7-ed9d4d4985dc"/>
        <s v="2aa36cf7-eb70-4a65-a7d9-9a23e4f7625e"/>
        <s v="ce5dc807-6025-4199-9082-3edaa0722aa0"/>
        <s v="16408169-a38d-4afc-bdd2-ed7af97ccc57"/>
        <s v="32b2c492-15ac-47a1-8eca-2ee310da8a95"/>
        <s v="62830869-0fa7-4e05-b897-4df5bff773ce"/>
        <s v="8e751eb7-64d0-4913-991b-8adf0202861c"/>
        <s v="eb8f2056-72d3-4c5d-8a31-b24384dd6da6"/>
        <s v="b6e355f6-95bb-440d-89cd-4af97d161f29"/>
        <s v="156af458-6c4c-4935-b79d-eda1ade6c5e9"/>
        <s v="ffc573d5-fd0b-470e-b85a-f4635e4af862"/>
        <s v="2aa50f4e-c6f0-4933-95d1-805142cb6d1d"/>
        <s v="1d7173e5-5bc7-4deb-b123-4efe6e648043"/>
        <s v="da54f267-dd13-4266-926d-53961058fe8c"/>
        <s v="869bdbd2-e72b-45b7-8712-0911b3b68b57"/>
        <s v="33a1d1c2-ad4a-4155-809f-cd8f739cd488"/>
        <s v="41a8a6e1-65e0-4993-bf41-1fed1e70e799"/>
        <s v="ff3e0ba1-0ac7-48b4-a418-65bf350d278d"/>
        <s v="9f982188-3744-4a64-8c24-9558f2ad985f"/>
        <s v="755a3ac1-32ae-4a20-9ac9-02ee25777cf0"/>
        <s v="d3b564b0-8be0-4c3e-9c94-938160c6b3ed"/>
        <s v="98a33736-fd1a-47ce-9ad0-a6f226bdd974"/>
        <s v="905c053b-25fd-4cbe-bce7-1b48fba52e59"/>
        <s v="6c596216-ae0f-4bc8-a36b-cb0167e98363"/>
        <s v="ade7cef3-7ed2-4c2f-856f-3d95e0ae1a1b"/>
        <s v="d5627386-528c-4241-a345-ac72eac39204"/>
        <s v="a2939b3b-7fa7-4d8a-bf88-ec827f99d273"/>
        <s v="8af58903-33b5-43ce-9fec-4623ab899605"/>
        <s v="027c013f-3801-4399-ae6a-8e2f9c19ed34"/>
        <s v="bf3df0bb-f66a-4168-b4a1-ca795718ada2"/>
        <s v="52631db9-d170-44ce-9179-7350e6256403"/>
        <s v="dfde2281-25fb-4f3d-866d-7002091472ad"/>
        <s v="27e969e2-c8bf-43fb-9a43-1f7a41c30359"/>
        <s v="4b5ca436-953c-478e-a106-7a8cd7a3283c"/>
        <s v="786e30ef-ce9b-4e70-b4d4-dfccb7d779cc"/>
        <s v="843b2a7d-15ab-4c21-8cc9-3ff710fce97d"/>
        <s v="10fc9eee-0a17-47f7-aa5f-24b6de6fec4b"/>
        <s v="4cea2df0-0a66-4c4e-a168-1081399f8a8f"/>
        <s v="72d6bc20-d80d-4a1c-8247-2fd603e9ba02"/>
        <s v="ccf719ab-2922-4bd8-9ca5-b35354a1d505"/>
        <s v="75f2bc20-a7f5-495c-9e62-d43f261908b9"/>
        <s v="61d9fe39-8147-48f4-9f0e-f320f7f60e7f"/>
        <s v="089b30a0-809f-4923-87a1-798fe6addd9e"/>
        <s v="cb4d18d6-adb6-4a35-9734-a26c92e94e89"/>
        <s v="99a2ecb1-c202-487b-849b-8a44ce1bb02a"/>
        <s v="6d265dd8-bf39-4fbb-938c-3460fd938adc"/>
        <s v="4a276dda-34c3-494a-812e-a9b8e7e13ed8"/>
        <s v="6af79ad2-993e-48c6-a6b1-06e289110af0"/>
        <s v="d872298c-7b72-490b-b8f8-f071d360da69"/>
        <s v="9b8086da-6379-4035-b8e4-5086ca819c6f"/>
        <s v="dd620222-d9ef-428b-bbcb-50b3961d8dcf"/>
        <s v="e2a01335-a830-43ab-853e-4b42cc4da021"/>
        <s v="4d6cd782-2e95-43ea-bda1-7da2000fc63d"/>
        <s v="552ae5ca-4124-405b-91fc-fe8881c16e98"/>
        <s v="4312ece2-dc21-41e1-be56-ac3d10cc8711"/>
        <s v="c5c14262-4d84-4ec5-9334-886ff164f9d8"/>
        <s v="6238d0a0-cf5e-4ea3-a258-4ab368777bab"/>
        <s v="ef7e85ec-a417-456f-a9ee-7f3d0ff030b8"/>
        <s v="babd4745-497e-4f1a-bd2b-f042209818d1"/>
        <s v="f11ddff7-0e37-4526-9582-a3bdd476fe38"/>
        <s v="2412579d-6af9-44e0-bb38-785b0932f5b6"/>
        <s v="9a1a7d6f-dd02-4100-a3d4-84087de8a234"/>
        <s v="b2ddc481-ac6d-4df8-94e5-064cb799ae8e"/>
        <s v="5a4f4145-fc98-4279-8f6f-111c26c06e67"/>
        <s v="775e0ec3-9c9d-43f3-8901-8aee69407be7"/>
        <s v="19faa06e-0c0a-4967-b579-501a62fda854"/>
        <s v="052daad3-26c0-4984-8734-bb05788c31f6"/>
        <s v="21f8c156-9e0d-445b-992a-34a1084fa819"/>
        <s v="b3386c3e-1af4-487f-92eb-dac5a1457899"/>
        <s v="31e9ca80-58bf-4b9e-a624-5b598c94af98"/>
        <s v="c707aef9-c6c3-444c-888e-03b662276cbc"/>
        <s v="0f66b32d-e19b-4837-9c6a-4b5e7d859725"/>
        <s v="9d44c93e-7799-48e2-b368-c5539c30ceaa"/>
        <s v="a6855857-567e-4862-af15-1673a1df3da7"/>
        <s v="b6af98b2-aeba-42d0-b830-32491fd3af07"/>
        <s v="d960af85-c9df-4e44-8bdf-fa7d9f3dd894"/>
        <s v="633cbf79-e96a-41af-b55e-3aa2208a393e"/>
        <s v="beebb4ea-eab9-421b-8b36-b545cca1a034"/>
        <s v="fbbff9e0-ae56-402a-b521-ca9fdf5e6f78"/>
        <s v="dc45488d-84dd-49b9-9f1e-0ee9cf6c9992"/>
        <s v="09c67417-306a-4871-beef-71cbc915d113"/>
        <s v="5f1ff97c-71cf-4814-a45b-d776c838a145"/>
        <s v="5b471c43-7499-428c-b0c3-2323c1b199c4"/>
        <s v="f4dd05d5-1349-447a-a1cb-a182ca20854d"/>
        <s v="0a3c2c6f-ef2d-4a38-a6e4-b8df0b6d9611"/>
        <s v="06d2ed7c-e6ac-4d8a-8160-ff927c7550f2"/>
        <s v="91bacf80-aaa0-4996-8522-dc4ef1dd50bf"/>
        <s v="3acaaf82-374a-4cc9-a039-7e67926146de"/>
        <s v="e27ac8e9-d1c3-41bc-86be-643217ee0eb0"/>
        <s v="809e2109-c786-4a38-a09f-1aede38690e7"/>
        <s v="81d1bf06-6b8c-46f2-8611-f583b2d10e3d"/>
        <s v="254bf7ae-1d0a-4994-b20b-575d4e28e674"/>
        <s v="6c0be55c-90e6-49e1-a44f-c3a96d0c62c3"/>
        <s v="1ad1daaa-ef8d-4ff0-9583-1feeec41e6f6"/>
        <s v="6a480542-1965-4435-901b-b5fa6a677623"/>
        <s v="f45da406-bbf9-4b01-a7f9-e728c618fc1e"/>
        <s v="6e5bac20-725c-4675-8a95-71e407dc02b1"/>
        <s v="7f22cd12-07b6-408e-aac1-ca75afb918c8"/>
        <s v="53125ffd-f655-460b-9d32-e231eb561699"/>
        <s v="5a3da367-141b-4a1b-80a9-78bfb8f8903b"/>
        <s v="b1182d23-5bf8-4676-9f12-a0e912011caa"/>
        <s v="2d8b5b41-590e-43da-986f-1721078548d7"/>
        <s v="3b019fcb-f96d-4403-948c-93f3028d042b"/>
        <s v="98ba0f0e-120d-4126-9da5-3b38d1aa6c5e"/>
        <s v="00d3d1af-353e-4c86-a4ae-ba79e4b82987"/>
        <s v="bb6b0095-ac7b-4ab2-a8b5-6f85346d2b7e"/>
        <s v="bf7b68ae-1f89-41b6-a6a1-a40bf031f4b9"/>
        <s v="b080e003-5e7f-403c-8b13-47f601d6d903"/>
        <s v="3b9cea95-9ad7-458f-aecb-325b064f768d"/>
        <s v="743c7e9d-2fde-4035-a452-bc39dbf2eed1"/>
        <s v="b51d70d8-582d-4972-ba08-9ca81cc5a8a0"/>
        <s v="0726d44a-2152-43c7-821a-a15ef58c43ce"/>
        <s v="55c36c3d-5cbb-4080-b547-5c5ef76dce6e"/>
        <s v="4bdd5f99-4ae9-4e11-b5fe-0213792ecd75"/>
        <s v="8d9ecfb9-f549-4e22-a0df-7f74efe78b60"/>
        <s v="97d01e70-2f1d-4bef-93b5-3b92a2cb5f38"/>
        <s v="88819f42-1a42-4629-94af-e646fe3216bd"/>
        <s v="606821d6-280a-47ee-8ec9-85ff94b28b9d"/>
        <s v="200f7753-f217-4aac-a59c-ff81e5ce0ca6"/>
        <s v="82221345-50de-4292-b90a-9016cdec85da"/>
        <s v="2f16fb50-c13e-46af-bc95-90d33e2aad3e"/>
        <s v="a9c72e7b-6b77-4df1-9f59-aa2c4a82e06a"/>
        <s v="99e8c828-21da-432c-9c68-d4fd0bd7696f"/>
        <s v="b3c161c3-13f2-437c-a4d0-27590542bd75"/>
        <s v="4ca49aaf-6b94-4e09-a1cc-14b312bdf75f"/>
        <s v="ed28508d-bdaa-4bfa-aab0-15638cffbbb1"/>
        <s v="4c4b91fe-6c14-4fc6-9750-ca7e246cb09c"/>
        <s v="3f80c31f-15a5-412c-9ac4-b6c7a31034dd"/>
        <s v="a3155940-5e87-405a-a1fd-cdf171df24d9"/>
        <s v="605dd4d6-0ecf-495b-877a-2133f2ed33e1"/>
        <s v="f642c8f3-6acf-49eb-8228-4fd9689bba65"/>
        <s v="70f8dd99-5217-4eb7-a6b9-20daba6a098f"/>
        <s v="f3cc9d8a-4b16-48e4-9f20-f4063438b4e4"/>
        <s v="2f7a304f-f344-4911-974f-7a54788c161e"/>
        <s v="1cb66f67-46e7-45ad-9bce-35d8cbe88a3f"/>
        <s v="27649a62-b02d-452c-9b05-0db28ee4fd02"/>
        <s v="eda2fc4c-7237-4420-b3dd-77e1cbb02fe9"/>
        <s v="6bf4d047-c484-4a8d-af75-1bde66163e5b"/>
        <s v="f5a3e893-3f7a-4748-acbb-93c26e84f8ea"/>
        <s v="85fa2d5c-efe6-471b-9723-a95974151acc"/>
        <s v="a1ab17c0-7662-49cc-9af9-5c78247f4d97"/>
        <s v="c149fa8e-7bb8-42f1-9624-d318a32652e8"/>
        <s v="d4864482-0078-4b12-8b73-50d13421beaf"/>
        <s v="764657ca-9e65-436c-b2f7-74b1b2f11ef9"/>
        <s v="1d4d1180-4c6e-4fbb-b7fe-f6b501fda698"/>
        <s v="4d18c103-a100-4d14-ba92-cd28c4c536fb"/>
        <s v="6c98f73d-27fe-4b4b-9bf1-f1d18b92c247"/>
        <s v="17b18e6e-78af-458e-8058-a332b4cfafa8"/>
        <s v="f5feba5e-c295-4f51-bf67-ee1aad9d1f42"/>
        <s v="67c21355-c312-4af6-8b32-992a3b7c1f9a"/>
        <s v="0588d91d-fbe8-4a8e-a1cf-0d1d47b3df41"/>
        <s v="ab2212c9-e23b-480e-8523-dbbb1eeed219"/>
        <s v="65ff6adc-41ae-43f7-8010-98240a614be3"/>
        <s v="b5c03f6f-94e4-4c44-a3fb-dbda86ae9d5c"/>
        <s v="bf1df687-1a1e-4042-b1d0-4b0f656fa7e6"/>
        <s v="df0d6301-488c-4c4e-9a94-14b840aaec7a"/>
        <s v="322f1499-e8a5-4f31-ac2c-10d0c15648ff"/>
        <s v="120961ea-0913-4087-95d3-8ca9986cc8d5"/>
        <s v="889c8ae2-4e3c-4f2d-8332-559dcad00273"/>
        <s v="dc0520a4-87ba-4b90-9e41-5c4e57030ede"/>
        <s v="c31277fd-eb83-4f16-a404-d8083fc18c00"/>
        <s v="dc66a27b-6a32-4333-916e-8a6429deb984"/>
        <s v="22696227-8513-491e-8862-2a674a294067"/>
        <s v="35d4cd35-a08c-4a00-85e7-425092f078b8"/>
        <s v="f4a5cc36-692a-4bce-9af5-5c2688083ebc"/>
        <s v="bdce29ef-6746-40eb-8b27-9c29a274c0d7"/>
        <s v="47534952-c9c5-4ef1-a76f-8a76c74f11cd"/>
        <s v="9177b6d4-5f2e-4167-b13e-ceb14ad12b4c"/>
        <s v="1f9078d5-2835-4cdb-a347-b24fa0f9c074"/>
        <s v="66b62087-61a5-4fdd-9eda-4209b270af55"/>
        <s v="8f42cebe-23b8-40f3-b7cb-1a27974fdedc"/>
        <s v="a1d20ebc-5aa3-492a-8c88-b9d8ab12fb53"/>
        <s v="37cf8025-6a44-4a90-be0a-5a5679009c61"/>
        <s v="8066b49b-b1d7-42a0-bd25-cefb7a0a02ba"/>
        <s v="f55b2e5c-a6ed-4ac0-be22-e1b751783032"/>
        <s v="248f4a25-4cd8-4f24-b1a8-c9c60f6ab75b"/>
        <s v="e32866d3-0d6a-48b0-beda-9ab9bec60ffe"/>
        <s v="5afb9565-068a-4c38-b739-076a9f032cdc"/>
        <s v="fe2d9d1d-e377-4008-a416-59c078b61daf"/>
        <s v="fa999f9b-86de-4365-98a2-30de02969326"/>
        <s v="14d4dad6-ddfa-4808-afd8-643211035083"/>
        <s v="ecb3d561-bdf0-4015-b305-ee95afb120f4"/>
        <s v="5c7cbc62-01a4-47a1-a526-4961ab4414ae"/>
        <s v="00f520f4-9ef1-4846-9dbc-24fd0a8aa1e4"/>
        <s v="a3ef802e-df86-43ce-8534-32cdffeb5d5f"/>
        <s v="e695f8ba-ba23-48fe-8ae3-02f3b31e9be8"/>
        <s v="92a651d7-c069-4542-a403-97213a082921"/>
        <s v="6f1bdd07-1aff-41ae-b0f2-c48549b564fb"/>
        <s v="62565a95-5487-45c3-b762-6f4975fd3537"/>
        <s v="a5e3a719-6bf5-4dfd-94a8-762b2b12c92c"/>
        <s v="25e4979d-6f6d-4f79-affe-2554e5aef699"/>
        <s v="25c29b6a-b575-4c6e-aee8-4bcb7281b8a9"/>
        <s v="35783f66-2114-42d6-90ea-1324862f78e1"/>
        <s v="596305b3-71b2-41e4-afd3-b9f2e90f79f8"/>
        <s v="6d62e40c-638d-421a-bbc5-9e92ca1209ad"/>
        <s v="bad3116b-63b8-4897-bdf0-fe6bce8d75f2"/>
        <s v="707421d4-3239-404b-8bab-5b51385c5fdc"/>
        <s v="b5c25d42-9626-48c4-b44a-f454f0a61c5e"/>
        <s v="0884fd16-636a-4f8c-a7e3-f52c0cbf404d"/>
        <s v="defa7864-15ac-45c3-a217-cf253be95767"/>
        <s v="be3feafd-0e96-4d9b-9d15-8e442fcf3b87"/>
        <s v="3baa17f9-2c62-4ac3-ad70-27cfa358cb1d"/>
        <s v="162d5c72-9ccd-4e1f-8c2a-bdaa9c5c11eb"/>
        <s v="c061c99b-831a-452a-9e6c-8762b475e15e"/>
        <s v="e2091f49-e0a1-4d2b-857c-799848d002be"/>
        <s v="0dcf035b-7552-46e8-a953-a1155a62ddc4"/>
        <s v="aa66b464-8420-48d9-b261-d0d2a1c2d9bf"/>
        <s v="8c141838-f468-40a2-a604-e5aff4db1c1e"/>
        <s v="6e3c18c9-ef1f-40a3-bc02-ba67ee04bdde"/>
        <s v="413770e2-7d7d-41f5-b460-d20d94b9cdb5"/>
        <s v="56525ce0-3725-4d0c-b9c4-5c38b440ffe0"/>
        <s v="0d742256-0b36-43cd-8acf-eba4441030ae"/>
        <s v="4a30f7cd-00fd-4c23-998c-a3b429b10823"/>
        <s v="104dff66-23f1-467e-81d3-4690a795ac54"/>
        <s v="38dfe76b-ae35-4290-ad80-ab08c963d148"/>
        <s v="8ec9ea98-6581-4934-9bcf-b1c4f87e3560"/>
        <s v="315e8080-7425-44e9-b891-aef5ebe0572c"/>
        <s v="9b3a0c89-1a32-4148-9bba-c83856e9b78d"/>
        <s v="51abf5e5-cb77-4e24-95eb-3a3de2014a45"/>
        <s v="e4bacd78-74ab-49fc-8930-d17952ab793f"/>
        <s v="85a1282a-0761-485b-8168-705a533c9a31"/>
        <s v="14827a89-5e63-44c6-b0ac-79dd0b5aafef"/>
        <s v="5882e3bb-8646-46c1-9eb4-e6c435a7c6ed"/>
        <s v="4053b188-339d-48f5-9658-b1b33012ae1c"/>
        <s v="4d236555-bc50-44ac-baa1-72acac33f644"/>
        <s v="6279d944-dc28-47c6-8453-98134fee7144"/>
        <s v="df39ccaa-580c-49fc-bb69-e69041300879"/>
        <s v="4e49df56-0b64-4acd-bd6e-2667b6651d6e"/>
        <s v="025b7c5f-1284-49d7-8d4e-2753ef26a5b7"/>
        <s v="702dc88a-b97f-43bb-becc-040c75ff93f0"/>
        <s v="6980b561-cf1a-4cc1-aaca-38110c26e5d9"/>
        <s v="70aaf525-75e4-47dd-be5b-637dfa98c115"/>
        <s v="3dbba3af-14db-4d22-95ea-e9d21e3d59d0"/>
        <s v="275f275c-c3f3-474d-9386-1b58194665d3"/>
        <s v="36a5be06-eb52-4e01-a25e-651269fcbef0"/>
        <s v="d16903f2-13bf-49fe-9cdd-9f6c70cdc4a8"/>
        <s v="e2f88051-c13c-4688-8f1b-5be16d4ba69c"/>
        <s v="f57b8a92-0a12-43b3-a4fc-0dbad44f85e7"/>
        <s v="38553ac8-7d71-4591-bfee-2fc72e2dffdf"/>
        <s v="476c4878-deff-4d7a-9728-525620ca35ab"/>
        <s v="fea2a33a-51d1-4bcd-9a23-754bef38d426"/>
        <s v="e64ddd91-8e9b-485e-9b77-0deb6f51ea78"/>
        <s v="c9fe6036-8a83-4fc8-9c2e-55624916e844"/>
        <s v="c707e77b-4bf0-4e53-b608-8c973380dcfc"/>
        <s v="764ab510-9acb-4588-8397-d4127118bb71"/>
        <s v="45c596d4-42d0-4ba3-a265-2c9e89421c6d"/>
        <s v="9d683a9e-1e65-4ac1-843d-2c473b56735e"/>
        <s v="2c2df3c2-1951-4f87-b63f-83c6c89309e9"/>
        <s v="37d316a4-3faf-4217-aa27-241fbb9e5a02"/>
        <s v="ff4533fe-bc6f-46ac-a139-d15d48d8b9ef"/>
        <s v="89181ba3-bdee-4231-81a6-009ea8dce886"/>
        <s v="0cbdc014-dbed-442e-ada3-13e783e9973b"/>
        <s v="45c190a8-a52b-40ce-a27b-585f1f2de275"/>
        <s v="908e0372-bcbe-4a42-b89d-3fda1e454241"/>
        <s v="b76fc5b2-acc5-42df-bac4-9efa5be12d09"/>
        <s v="483c1a4e-a91d-42cd-8bf0-6f64b4178592"/>
        <s v="e6cd3595-d4f0-465d-bd68-17b638b80611"/>
        <s v="4eb98768-84a5-41c3-9095-e4973d798f0b"/>
        <s v="5f89d54d-3bcd-4aec-93ca-8c05acb5959f"/>
        <s v="9501e917-496d-427b-baf2-f402a0e624f1"/>
        <s v="03f7ba05-cf4b-4315-a325-4d812bdfb727"/>
        <s v="5df2e073-53f0-4099-813d-d49a8d99743c"/>
        <s v="cfdef303-0679-4b47-a283-453695decd6e"/>
        <s v="27be0381-6544-497d-a078-9f97213c121c"/>
        <s v="fdc12930-82ae-452f-ad40-76bcf9cb2ee8"/>
        <s v="34dd7624-c3d9-43b0-a2b5-6be11392a255"/>
        <s v="7f2a2e65-c659-4f7f-aa45-5fc7c80cb483"/>
        <s v="f8247e70-b219-4ff3-846a-c0d691ca9f9e"/>
        <s v="21d32e24-bb89-4746-bc3d-a91136a52df9"/>
        <s v="62759469-c28d-4ad5-bbd3-147dd0f0c75d"/>
        <s v="21ee302e-974d-4d49-9bc6-98825a7c831a"/>
        <s v="eaf94919-e69b-4971-bf9b-76efa1057256"/>
        <s v="06a8e22f-d57c-4f0d-9db3-466d1ba6cc61"/>
        <s v="7d3c279b-5bce-428b-989b-b03086c47b06"/>
        <s v="f568c9c6-033c-4469-8f06-ea1874a26444"/>
        <s v="29bccee9-a71b-40ef-8e36-b82f3856be31"/>
        <s v="cf2a2198-7ea4-46f5-a10b-4aada92d6b05"/>
        <s v="8bc88bcf-7b1d-4049-bcc4-616df40d2a37"/>
        <s v="142a6c95-d908-4a42-b448-0761505e9c9b"/>
        <s v="66dfeb1e-9ab3-4c27-a32f-8c5b425832c0"/>
        <s v="5100f186-d25a-4049-b0e9-be17b4134208"/>
        <s v="f19b43da-6253-4fe3-8aae-b212c90ded29"/>
        <s v="50ae2652-09cd-4bdf-b56a-f7370f2670d2"/>
        <s v="3fe65f90-f631-481e-bf40-1e04b9f94ec6"/>
        <s v="ab1e6794-70f2-497a-9ceb-201357d9af8d"/>
        <s v="39d5b552-a867-40f0-a8e6-a772b9cde60c"/>
        <s v="298e9a79-abec-4c0b-981b-a30742965873"/>
        <s v="92d6ff73-5b3a-4595-8458-92c14e0e15d3"/>
        <s v="a1645f58-bb78-4b2d-8ee5-144d8a1d8b42"/>
        <s v="7db931ce-05a0-4421-9a79-b46a26b61b06"/>
        <s v="3dd0c866-0649-4ef5-8fb2-de1ea0b976c2"/>
        <s v="f20e8bda-39cc-4d88-832f-594d0b82b61c"/>
        <s v="d22a3a62-1109-4978-93a0-81a6a7647989"/>
        <s v="a9fa4ea6-f8db-4a4d-984d-3c020ff9d318"/>
        <s v="ec071cf1-e476-48ec-a2c7-1d046c32faff"/>
        <s v="245db6ca-6f6a-4196-b2ef-7dce376e22a6"/>
        <s v="a629d332-2d4b-45a4-8fdc-13515ba830dc"/>
        <s v="c90853fd-fc9e-4692-ba62-6aee542d19c0"/>
        <s v="027752fe-61f6-4c6e-a89c-0559bf4fa4a3"/>
        <s v="88a0edce-4384-460c-a413-961f68c6dd5e"/>
        <s v="fb0a6a90-bc52-434e-8dfa-4cc88805ae31"/>
        <s v="c2537638-7670-4835-b476-998dafc8128a"/>
        <s v="1f626a97-ebe7-4f91-9092-0b690abc847e"/>
        <s v="2bdb5720-63ea-407f-b436-498e68afe2b8"/>
        <s v="9f312acb-2362-4bc1-8024-532000cbd313"/>
        <s v="d70da545-8391-47a6-a977-4b71de6d2d7e"/>
        <s v="1463c5f8-25ee-44ab-b319-1702bb80d98d"/>
        <s v="d4088ff7-d713-4061-bcc4-f772547e3918"/>
        <s v="f22a4fc6-3f2d-48a8-ad20-481ad216ad53"/>
        <s v="e575ae93-ce74-4e8a-b4e1-680b05a02c72"/>
        <s v="d69db137-c9a5-4cd1-be28-e8c52b395c4e"/>
        <s v="b7c144fb-2b16-4d04-8fb8-7c76af044a8d"/>
        <s v="dd5aacc7-ed7a-4edf-ad5b-7d501417d4f9"/>
        <s v="a0e77486-9ed9-4124-9a89-5c62990e8f01"/>
        <s v="9d6c84af-266b-4d37-b5c9-9b49751f7e54"/>
        <s v="571aa4f6-40a2-4015-8a40-a3799a1ab357"/>
        <s v="606375b8-bb93-4826-bcee-9d29ce4f1ca0"/>
        <s v="e3b4df81-eeb3-462c-a032-149d06fafb60"/>
        <s v="5bbdd1f4-16f1-4aad-bf10-7645094c0230"/>
        <s v="754724dd-269b-4c3b-abf0-f4bd4af0a6fe"/>
        <s v="298b7e5d-5b16-44ad-81e7-74de3c740119"/>
        <s v="566ff3ec-679b-49e8-80c3-2da9bc49b58e"/>
        <s v="f1c58f44-7e08-4c1b-8da6-a326451437d6"/>
        <s v="87c47eb8-4f8e-4e01-83c8-e1046480fdc0"/>
        <s v="780afabf-8cea-409b-89c9-4aa5e689e5e8"/>
        <s v="88239867-c5dd-467b-88f1-100bfa3222c4"/>
        <s v="ef208346-432f-4308-8d56-206d920c3de9"/>
        <s v="6522ff46-74b7-461c-89ce-15a8afd4fc7b"/>
        <s v="58ba0bf3-675e-4c52-9eb9-5739b8acdd81"/>
        <s v="45e695b1-054b-4816-8d18-533e7efa2faf"/>
        <s v="4100e665-08c6-46a9-bee4-e6bcbd6deb92"/>
        <s v="b3e4bd3a-94fe-41a0-ae2e-45a4ae4404d7"/>
        <s v="feb46b24-4a2e-4d41-addb-0263c6a2894d"/>
        <s v="c33993f2-3504-4f77-8317-c3d4afa4f554"/>
        <s v="62d59938-571c-4d78-8429-aeae877e5ea1"/>
        <s v="402988fd-f8cc-4f3b-959b-148ffa7bff5f"/>
        <s v="fb52451d-90e7-41a1-9db1-dfdc357f0a64"/>
        <s v="f16f1487-f7f2-4e5c-8e07-55e354565b12"/>
        <s v="ac825818-960d-4788-be1e-165decadbb86"/>
        <s v="e02a35e9-ae6b-4c8e-8864-4581b8577478"/>
        <s v="de386aeb-ea96-4be6-a99c-f16b5a7583c0"/>
        <s v="d8a1a546-54a6-487c-a72e-aa36e642965c"/>
        <s v="95be263b-0253-4c8c-91f0-c570bf5545ce"/>
        <s v="27fa8b8a-909b-471c-8d1f-0a7fd0fce922"/>
        <s v="4a8b77da-5cfa-48b1-9836-78eef3ca5f64"/>
        <s v="7eaf1679-52b0-4994-8b1d-d9fda02ebb76"/>
        <s v="6e566274-99c7-4bea-a756-264dc8649f78"/>
        <s v="c9d0a7f4-0042-4fc6-ab87-71dffccae6b8"/>
        <s v="711fa10a-0b29-45c6-918f-f3582408c3c2"/>
        <s v="0262a5aa-edec-41ef-9762-762620379089"/>
        <s v="e8ef99e9-7afc-40cd-b8bc-6621f2d7fe55"/>
        <s v="a9afa87a-d181-49bf-aa09-9a46f25a3c68"/>
        <s v="9cb9f9aa-bf4d-4eaa-81f2-005bc7537df5"/>
        <s v="efa2ce12-8c83-4848-91fb-a56e300a2187"/>
        <s v="d48457df-f325-4f2d-8759-5b016c835975"/>
        <s v="10339310-2b7b-4e99-878f-40ed2c805ac7"/>
        <s v="94665d45-284b-4bcd-a3af-11d0a8ab29f1"/>
        <s v="a1d33772-8101-4c5b-b110-397a1c2c7a34"/>
        <s v="627b9de7-9ae4-45e0-8b1d-c2f8cbf1f93c"/>
        <s v="4fb7c3bb-4408-404c-af44-6806c1378e75"/>
        <s v="c74dd25c-6dbf-459c-837d-975248f3531c"/>
        <s v="47caf779-b7c9-4da8-91db-32f8fda834ea"/>
        <s v="86fadb0e-89b1-40d4-8218-ca25f23db306"/>
        <s v="579e9a46-fd76-4f63-9163-de1d8df7a267"/>
        <s v="6e83a7b2-c857-48c3-b4a0-697630a31251"/>
        <s v="01847803-d840-4ccb-a446-eceecaa0a679"/>
        <s v="c8dec9ab-27c3-4784-82e7-448cc0037457"/>
        <s v="c81236e6-ec77-4fc8-b38e-5adba93fa902"/>
        <s v="76d142d0-5c66-49bb-a257-4c5a903374bf"/>
        <s v="e994f3e6-8fc4-4dd3-894f-7d5af313c0b0"/>
        <s v="cc68fd3f-9d37-4a5c-a2fc-7fe3696100ac"/>
        <s v="e65a3ae4-3a72-417d-829e-d120cddb2316"/>
        <s v="fb46ed39-8772-4347-9cba-9be3040464c0"/>
        <s v="31cb5e8e-ae25-42ca-a894-8b4cf0fcccc6"/>
        <s v="b3390a6e-a0b8-4e45-9abe-c113a1832fdb"/>
        <s v="bc39e1b3-bb1d-4677-84e6-748a7f3ab7dc"/>
        <s v="3df8eeef-e44a-41f6-9251-ad083fcb34fa"/>
        <s v="c2112eda-f1e7-4a9b-af65-70d74643d705"/>
        <s v="92b95731-13f2-4c86-ab83-f00fed2ee36f"/>
        <s v="b6bca2a2-be79-4965-bc9a-923672bbe7b3"/>
        <s v="e51c0cdb-8247-44df-9d1f-8e30731c877a"/>
        <s v="19b53b7f-b47a-4dce-8f70-9452ce8c037e"/>
        <s v="70c455a9-2a1b-4112-b033-1476f53fc3dd"/>
        <s v="6d3f4b37-ed90-41c1-90b2-e6e5ec6e61bd"/>
        <s v="4598244b-f0bd-4405-a50d-d400a27ee80d"/>
        <s v="c1fa924e-e1bc-4fb2-afed-6cc540b000a4"/>
        <s v="53e83663-9c14-440d-9b2d-81ccc602bd20"/>
        <s v="7e15aa2c-07b6-428f-8e98-ce2517337a7c"/>
        <s v="33e9e55e-4024-42a3-8334-f55802cee581"/>
        <s v="6f844392-62f9-4bb2-a5dc-ac6cc329870a"/>
        <s v="ac4ebce0-a02a-4b21-a2a7-d0fcc683ad33"/>
        <s v="d2928f4b-e151-4a0d-b275-16ea63a6aae9"/>
        <s v="5ac5f4f0-771e-4087-952b-1ee109d5b64f"/>
        <s v="907d8532-2076-4932-919c-21edd47133e7"/>
        <s v="d26eeeba-53ff-4644-8741-ee56b5e2834d"/>
        <s v="ebc16f69-7946-4978-a5e9-675306389bd3"/>
        <s v="14dc01bc-0aa5-4583-a2a5-a421858da7da"/>
        <s v="5c6be596-58f1-4c91-9d6d-47e490e0172f"/>
        <s v="b7a02afd-30d6-463f-91c2-72d801267789"/>
        <s v="789a2829-8a66-4359-abe0-a1771c5e1698"/>
        <s v="d763b159-ed9a-489a-9085-2f4f0b09ec41"/>
        <s v="067fece7-f1ff-46dc-b45a-a79bd855fb35"/>
        <s v="2011bc8a-e7bf-4a96-a484-9eb55096ccf2"/>
        <s v="a2b4d215-c3c5-407d-be29-2238fbfbe602"/>
        <s v="2462c274-abbf-46c7-a80a-ee2a466bd06f"/>
        <s v="ddda17a3-6779-4e0d-a5c1-df67987d616d"/>
        <s v="29b49664-0f52-461d-82f1-240d4e5c6dd2"/>
        <s v="e91e70af-224a-4354-a490-7635201910c6"/>
        <s v="b75db71e-a453-4fe9-b48f-653e7b1bcb6b"/>
        <s v="bad4c288-0bf5-4ed8-b93c-2989c399fd7f"/>
        <s v="d2d07223-0b20-4e0f-8505-0a17d2e1ed4d"/>
        <s v="b2835498-be80-493e-b0f1-bb1d8e10fed6"/>
        <s v="2e22fd39-f31e-4448-a323-c57fa197b954"/>
        <s v="d020baee-95fc-4389-8cd6-6756583e26a4"/>
        <s v="2ca723c4-8f4e-4442-94aa-aefe153251c9"/>
        <s v="ccd9f2af-339c-4a75-83fd-46ffd03459a4"/>
        <s v="b56b9357-b34d-48b0-93f3-c15842ce91c0"/>
        <s v="8476af98-425d-495f-8846-bf9040fe6898"/>
        <s v="e8f58c5d-ffa0-4419-b4db-cc40ef7dee1a"/>
        <s v="72e6316e-e671-4ad2-81b5-468a27bb1580"/>
        <s v="a1ee691a-09e1-43b0-a71f-27728d7f7ba5"/>
        <s v="83210210-a43c-491d-ad4d-a4ef95e38180"/>
        <s v="50eaa1d2-c1f8-490b-a55e-44b808a6d5b4"/>
        <s v="31610b3d-1257-463c-b25d-cb50d15b5985"/>
        <s v="9c63765b-74e0-4bbb-8a80-33a7a5fd89c8"/>
        <s v="85b303d3-756b-4c0d-8ff0-c8ac3d1cd68c"/>
        <s v="e9a4a856-556b-40fa-b5a3-cece28cdc38a"/>
        <s v="c5826444-79fa-4501-a287-401ba7bbaa76"/>
        <s v="1519401c-8b1f-4137-8ea2-55e08e50c79a"/>
        <s v="00a1402e-57e7-4f7b-8486-10cfd21276c2"/>
        <s v="1a9e8547-147a-48ac-865d-8e4ed01e488b"/>
        <s v="91fd7d4a-5a31-46a6-9b87-cc5e6d7fe9b2"/>
        <s v="60c8e5a0-d560-464c-95f7-792a739ac9e2"/>
        <s v="d7604342-fcbc-4229-9caf-a108832c9b79"/>
        <s v="22d80170-1e6c-4d83-a2f6-2516dc88b09c"/>
        <s v="2ebed37d-05d1-46b6-acee-c38d511fcda9"/>
        <s v="567fec5e-04ea-481d-a006-8c1cbbd743b3"/>
        <s v="0b4cba0a-317e-4b1d-9b83-acd5e2ccddd8"/>
        <s v="b2e74e77-0fe1-4edf-a538-790169f12ccd"/>
        <s v="e963544a-63b7-4101-8bf8-e26a4fae667b"/>
        <s v="cb60fefc-c47e-430e-99b7-02a20d5f024a"/>
        <s v="eb1c3ba4-5b9e-42d0-ab0c-9fddb61b03e9"/>
        <s v="688181a8-13d1-4a49-ad46-9bf4d5cf2dc4"/>
        <s v="9aa909f1-5adf-4d04-b0d2-27180dd35d11"/>
        <s v="417df4f8-c1a7-4e00-9ec1-2fa2e6df12ce"/>
        <s v="d95e17e1-900f-42f7-8f4b-4ed5ac1d02e8"/>
        <s v="2e402534-6987-4052-b421-9d3ecdc39412"/>
        <s v="439f4b86-cd6a-4e0c-b427-965607db34e0"/>
        <s v="106861d3-633d-4c54-b304-59cc30c42d61"/>
        <s v="06b42b6f-1f94-43c8-98a7-75945b8c4949"/>
        <s v="675d0855-2d55-40c9-8576-598359cd012a"/>
      </sharedItems>
    </cacheField>
    <cacheField name="user_id" numFmtId="49">
      <sharedItems>
        <s v="e5a1bdae-a747-495e-b0c9-52af9db31510"/>
        <s v="ca6ef7ce-74db-49f3-92a3-3c33037e5725"/>
        <s v="b1e186d7-df25-4e5d-befa-9c478dd6650f"/>
        <s v="dba45b5e-1498-465b-b9fe-0a1b7efbe877"/>
        <s v="66e51767-dcb3-4e4a-891d-fa7b0d3dc6aa"/>
        <s v="eceb9505-dbc3-4e56-88a1-7945ca6d3e06"/>
        <s v="840fbb0b-a5e3-47af-871d-ade6432255ee"/>
        <s v="1480f037-d39a-4bb0-962b-68d41880fa4b"/>
        <s v="19365f61-f484-478d-9bc9-e8895567a84c"/>
        <s v="277e5c18-0877-4fe6-b7d8-70b678ac8704"/>
        <s v="ce03a34d-a022-4fee-843f-b606e8b7e2da"/>
        <s v="002f9cc4-096b-4aff-b5b7-751f497e28aa"/>
        <s v="f1c51dda-2828-4370-9672-ebc7606e8502"/>
        <s v="291a58af-259a-4b28-b22b-89748c5c192f"/>
        <s v="28b299bc-ebbe-4a41-8781-e11f2cb38568"/>
        <s v="f172840f-3e19-40ba-ae09-ccfba3dee81f"/>
        <s v="540988e7-9fed-4060-af23-d4afe0ff58a5"/>
        <s v="f5657d00-7ba0-4f58-861a-e8d1f212cc6f"/>
        <s v="65ea29d1-adae-4e45-a036-e74be34d7804"/>
        <s v="a2bb6283-3d83-4d7c-b9f7-06d40b4ea16d"/>
        <s v="f75a7e6f-2b86-4694-941d-1a814815642c"/>
        <s v="29e316ad-39dd-4477-9a22-0eb23cf9d1fe"/>
        <s v="5d005716-7680-491b-abb6-204ee0db22d3"/>
        <s v="62f25291-2353-4455-90bc-cb66e0631450"/>
        <s v="2982100c-0372-4e33-8550-7d2b909e7f78"/>
        <s v="afdb4e0b-0171-4f1d-956a-2f20ee283bb7"/>
        <s v="2c05b870-cd34-4cd7-b7ed-75b463d0fccd"/>
        <s v="06714938-04fe-473d-a61c-ec19fff83cec"/>
        <s v="00f24603-8295-4fe0-92c5-53b5d2f74429"/>
        <s v="ecf150e6-c6f1-49c7-8c15-a57509c64c1d"/>
        <s v="25cf51c4-9c89-4296-92b0-35e01ca5a2f5"/>
        <s v="c96ef1a5-ac70-4464-a734-f9bbc7405255"/>
        <s v="6b325d48-06c4-4109-89a6-e611613f718d"/>
        <s v="afb9f3a8-e9e7-41ba-916b-51ee6faefeda"/>
        <s v="ec2b5e21-3f7a-48e0-b611-8bd6553a773a"/>
        <s v="37773772-829f-47ba-9d30-db822348e1b7"/>
        <s v="213a6ad8-12b3-4a24-a67f-ceeb8889832c"/>
        <s v="59c07423-a89f-4916-90ec-83746862dc24"/>
        <s v="e54ce0de-6e79-4a92-98b7-f1a2f74f1905"/>
        <s v="61bafa39-789c-4c72-bee2-9e686fa00319"/>
        <s v="3d7439ee-6514-4471-aa95-1570399bcb79"/>
        <s v="eba08424-65a5-4c1f-bb2e-cfc5a53011a2"/>
        <s v="409b3c5b-d5e8-489c-91ab-249d94d50a99"/>
        <s v="86ce563d-e291-45e1-869f-c269ff7acd86"/>
        <s v="9aa1ecd6-058f-48d5-8ad6-cc515f2e1048"/>
        <s v="e072caae-797c-47bf-8793-85209c921e7f"/>
        <s v="9c684df1-0a51-4e87-86ba-68553cad275a"/>
        <s v="6409df32-cc4e-46da-9e09-89b952526d45"/>
        <s v="88d3281a-1b4e-4428-a048-3bb2f6d080c4"/>
        <s v="24eac3f4-0c78-42f9-9a41-8b24e0acf9ff"/>
        <s v="c48ae374-06dc-4579-a476-40a1b6a659ef"/>
        <s v="f9fb4010-dec7-42b7-bb22-fa316bc9e970"/>
        <s v="1ad566c3-ecb0-4f48-aed6-3ea464a2bc48"/>
        <s v="7644d183-9aab-422d-b5ef-8aabb693f4ef"/>
        <s v="796f9881-572a-4b53-ab6b-7b4229502326"/>
        <s v="eb1d1061-9717-4a6e-a8b4-d5b9693d993c"/>
        <s v="c30759a4-48a1-43ab-9d55-daaffefc5b4a"/>
        <s v="5e47c2a0-eef6-4139-9ccd-d34080e97f74"/>
        <s v="5b8d11ba-a0ec-4e5a-a487-8d19586d7f41"/>
        <s v="84caa7c8-a159-4b4f-b901-726fc421325a"/>
        <s v="e08c28eb-3218-4fbf-8dcc-bbedc0e0d55b"/>
        <s v="b934718f-2d49-4ca2-81f4-317df5141524"/>
        <s v="614f1ddc-4bc9-42ce-931d-a6ac956c2129"/>
        <s v="8d2ad974-4a86-4655-8a9d-499ca2698c2d"/>
        <s v="69199a8a-aea6-4315-88ef-444a6e63ffa4"/>
        <s v="354af1bd-ba56-42f7-a00a-a45e44e1b08c"/>
        <s v="1c3c8d35-21d4-4b7e-a258-7c8958ccf9b4"/>
        <s v="07fe6a4e-2a6f-4e47-9b61-f92b9cf600ec"/>
        <s v="76a933cf-65fd-4f69-93a2-5c9b6e3a52d7"/>
        <s v="b5004950-b5f5-4316-a453-35cc137fcd2b"/>
        <s v="6ce8d7dc-c71d-42d6-93ec-5718ae4a741a"/>
        <s v="2367ad9e-8dcd-4d64-b9e8-e4ee8b7f6d7a"/>
        <s v="2a1ace85-351c-4aac-a728-ec952b52dab1"/>
        <s v="22b3ce34-867a-4ac9-879b-e4e53a6e8f12"/>
        <s v="e65d1c73-5b62-47c9-be38-01afd1a8d7b0"/>
        <s v="49bcf4a8-bc62-44a8-9f93-e802e1c25cd1"/>
        <s v="af273f40-55cd-472e-8b10-cf68b7691470"/>
        <s v="ea045534-f679-4fd3-8d74-afec1e548a7c"/>
        <s v="c5fee487-68ab-4281-968d-2bc2dac7c336"/>
        <s v="2887a3a9-e633-47c3-8303-42c7dcfbde0a"/>
        <s v="f7f1bb27-8066-4563-a0c3-0ce957ac59f2"/>
        <s v="25033a3e-b1f5-47d0-887b-4cca54f02dc4"/>
        <s v="bd637b3a-fc0b-4519-a04a-a4a2e983cc1d"/>
        <s v="3c0a94de-4e24-4cf7-8e33-dcabbe684e2b"/>
        <s v="60e9bd79-fe1c-41e5-aa31-e67ae1680205"/>
        <s v="78a55d6b-f2de-400f-a3e8-695158b5f052"/>
        <s v="68fc642a-f6f2-4926-8e60-678b82f4b48a"/>
        <s v="1903b45f-d01c-4935-a803-2f7efef06b04"/>
        <s v="25cc2478-276d-4e19-b924-e06aaef5baef"/>
        <s v="a25130a8-9870-4707-955f-bc3301424249"/>
        <s v="e1a9344e-ef7f-4bc8-bb24-cba4b4577bf7"/>
        <s v="c77f0b62-b264-49f7-9b58-286c8461f840"/>
        <s v="98856c7f-3475-4526-b2b4-c281a5b91ee8"/>
        <s v="83719849-fb52-44d9-9a66-d48da4f0d9c2"/>
        <s v="bb5f15c1-b044-4ebb-8445-17ef1c769e1f"/>
        <s v="15db4487-6038-43f3-ab2b-cfda9d4319b5"/>
        <s v="1d8ac1a9-02af-4382-8938-ad77cb18d6a4"/>
        <s v="b8f35c26-d13e-439c-9cb6-f1f0e4751694"/>
        <s v="ad0cabfc-1baf-41f1-917f-a07e7b0f78c1"/>
        <s v="b259a6a0-9591-4900-9e7c-faad73df770a"/>
        <s v="cfe4fb66-7c8d-4368-aaa2-843940fe81ec"/>
        <s v="28b74f3d-ec38-46bc-ba8d-1c00c6962905"/>
        <s v="e5098f9a-d3c6-4e05-8d37-aebb8fc7f7e3"/>
        <s v="820bc51d-db3a-4fa6-87d0-286213f36e53"/>
        <s v="06999e1e-2b02-437e-a2cd-159aebba80d2"/>
        <s v="2ab465e9-d97d-4b38-a4a9-8266d3d6362b"/>
        <s v="68adc28f-8463-416a-be65-6befe0efc989"/>
        <s v="702cebbe-3544-4189-a920-46339bb68cd2"/>
        <s v="439ddd74-67af-46d9-af04-ef81b5481bf2"/>
        <s v="eb6ec9e0-225f-4457-9662-5aa1056b565f"/>
        <s v="70e2ee61-e29b-44d7-abdc-9c10636241c3"/>
        <s v="60032713-ea8f-423d-8dbc-321b90a00ee1"/>
        <s v="a4e0ee5b-1638-425c-8d66-65d8edf2a720"/>
        <s v="3bac2660-55a3-4129-a7ba-6b1a96954911"/>
        <s v="0a02da60-749d-4601-9f98-377981bd5336"/>
        <s v="44c8fd00-1a0f-4218-9eb8-83257add8fed"/>
        <s v="8d00b7b2-7d82-4ccf-81eb-88e5d549faad"/>
        <s v="43eb280e-7901-4990-a4e3-22cfa51de78b"/>
        <s v="5d443821-8a7f-43ae-bad2-3fbf2e573864"/>
        <s v="9bde299d-da28-4b7a-8d6d-99a628d798b4"/>
        <s v="74f8c57b-24c5-42ca-aab3-c4d8d4e4004b"/>
        <s v="7a658abe-1188-4fa1-b660-ffd5119fc1c4"/>
        <s v="68f49b51-f3fa-4613-90ed-41f464aba3f6"/>
        <s v="7b777bf2-43f9-4cbd-979d-221d8e5f37fa"/>
        <s v="4bf41e10-1c62-4f82-9081-3d923aca43f2"/>
        <s v="181a218e-cfd6-4560-9c05-c1f3241d3e27"/>
        <s v="0e8472a7-dd33-4379-a88f-58c1237d7b90"/>
        <s v="96248805-2305-46d3-aa61-353ad2b00078"/>
        <s v="0876daaa-01ce-4fc6-b2d1-16fe8f08963c"/>
        <s v="b325442c-8eeb-4fd8-a783-b0c3dcae667e"/>
        <s v="b6d066f2-7d87-4566-9a0a-80bec15dfcfc"/>
        <s v="79140a61-ee65-4feb-9b67-4518b0bf7f14"/>
        <s v="c7afae8f-dfec-42ae-98e7-60bf8f3e64f4"/>
        <s v="af8c96a9-18f7-4499-9f61-c53457d1d37c"/>
        <s v="7f6bf51b-3a05-40b7-bddf-55b2015128db"/>
        <s v="4642cddb-4fbe-4aae-bbf7-0946d6ada066"/>
        <s v="5ad8712d-7ee1-42a3-824b-fe48398071b1"/>
        <s v="ed3032ed-824c-4948-b474-b1a4f2684ee1"/>
        <s v="4e051eea-13d7-4846-9777-6c3a57435d9c"/>
        <s v="bd2cdb8d-39eb-4a32-ac1b-681192dbd613"/>
        <s v="dc58ea6a-6193-4b51-b6ac-a9b45e146c30"/>
        <s v="49b3fe66-3b4c-4730-a53d-f737c2185e77"/>
        <s v="c6b7e7cb-be0d-44ed-b306-1611ef96a214"/>
        <s v="c814ed3c-e166-46ab-a8f6-14bd7b2aa677"/>
        <s v="9cc753ad-6264-490f-886c-0adf5bf26ec8"/>
        <s v="1e94eb4b-c74f-43ca-94c6-67bb211e55c3"/>
        <s v="de5fe0ee-8010-4500-9ae5-253066b48fc6"/>
        <s v="b594b706-a7fb-481e-ba88-a4ab78916712"/>
        <s v="5bd71dc6-ea75-434d-a1d5-34025fba6dc2"/>
        <s v="f902d6c0-5bf5-4279-8704-768e6e927501"/>
        <s v="b6e0eac2-c42b-44c4-846f-5825669ff1b9"/>
        <s v="1af4321a-ddd3-4779-8879-996dfe38f4eb"/>
        <s v="1ee1723b-4a96-46a4-a752-41027acf6bcc"/>
        <s v="eed15368-5811-4722-a77d-fc7b722c353d"/>
        <s v="edfda291-2fdb-4c0d-be4a-565e3e581dd5"/>
        <s v="3a8be161-7fd2-470a-968d-6f3ef4b445aa"/>
        <s v="f9adf8c5-6247-440d-ae5c-eb3d1c275035"/>
        <s v="7636efd9-8376-4fa8-b6fe-579f6382f3b5"/>
        <s v="ffb59512-fa04-4706-af8d-ff9bfae3fcee"/>
        <s v="387cdf02-9e3b-4f04-9418-864590de6fba"/>
        <s v="4fab2ad8-8091-421d-a637-c09facf606fc"/>
        <s v="849648e8-5084-440f-bb8f-5fc77c96eefa"/>
        <s v="78c5a976-1786-42e8-806b-8fd6af157ed9"/>
        <s v="f325f875-e417-4ba3-a4ee-c62b51306e5c"/>
        <s v="6e6d086c-f7b3-4a86-921d-bc093a357442"/>
        <s v="c57842a9-934c-472a-8c72-fe13fbf28c1c"/>
        <s v="437249fd-17ee-4fe6-a810-91fe0a5a0322"/>
        <s v="2db6de21-53a9-4c5d-b9b5-c70e3346f7c6"/>
        <s v="b2daa1f6-cc16-414a-ae4a-6e781cf4a8ed"/>
        <s v="f3f05323-3bd5-48a2-873c-36ba5d393bf9"/>
        <s v="88da091b-61f6-4877-8212-585b0b2f8580"/>
        <s v="d24e3104-1dd2-4234-a131-24bd01275a63"/>
        <s v="e998952c-ef58-451f-9b1a-e0199aca0c4a"/>
        <s v="7751b3fa-bdb6-4ff3-94e1-67063309a536"/>
        <s v="852d2ee5-0061-4d30-9907-3286329cd43a"/>
        <s v="6a4ace0e-d89a-4500-9f13-d2fbe583847f"/>
        <s v="ed0d0418-2d58-4ce9-8974-5cd7111868f8"/>
        <s v="6a594b07-eda6-4806-ba19-607d3bfb255e"/>
        <s v="00183cfe-ceb0-4220-b984-f33f61c61ae4"/>
        <s v="f9df7275-6199-4015-b5c9-599f6f9179cf"/>
        <s v="f45c8840-9da2-4338-8a8b-c856c3edd9b7"/>
        <s v="58d97f4a-9533-4356-874f-3be044f20133"/>
        <s v="565af699-d3bb-43d7-9e12-425cb42fb357"/>
        <s v="2266a107-a408-401f-b433-97f1ad5b9bb2"/>
        <s v="40709bd4-1790-46b7-845c-21e7988d0e4a"/>
        <s v="1a7e256d-b6ff-412c-9a6f-0c9af1f7e90f"/>
        <s v="24536074-b13d-4531-862d-7f7a45dae1f3"/>
        <s v="22ca9fe8-a8aa-4d13-85a9-18d19eede43c"/>
        <s v="f9d2b2de-92bb-4701-b503-c56e61002dbd"/>
        <s v="6bd1f046-339f-4b69-91cd-2c07a8f78b61"/>
        <s v="8f41d3e4-1ece-45e5-8018-41f4820d15c6"/>
        <s v="79801aaa-e93b-4418-b170-b1ed1b040be3"/>
        <s v="729bd820-e4ad-44e2-824d-9e961fe253b0"/>
        <s v="8c3af69e-7474-4f6f-adbd-b6e57844c2ac"/>
        <s v="41229d75-6a8d-4e84-a0fe-652b56fe2301"/>
        <s v="816480fa-90a2-48e1-941b-d89660924d2b"/>
        <s v="dcff697d-d26d-428d-91f1-5ee755e9718e"/>
        <s v="59de5319-3f9b-4cfc-b42c-59053bcab3ea"/>
        <s v="69083bd6-ef61-4cac-8674-d2447b056d02"/>
        <s v="e355c369-b931-426d-b26e-8017061f5679"/>
        <s v="f5652d00-67a4-4b26-8d6e-44f20189a5d9"/>
        <s v="3956fba9-7232-4dc9-8677-81b2c3a31607"/>
        <s v="7a2be049-40d2-416f-bdb6-12f46df2fc82"/>
        <s v="70df67b9-3a6f-46fa-a418-13ef799fde33"/>
        <s v="7c76a592-a73e-4f3b-9c27-761d4894d9fc"/>
        <s v="26184c80-edf6-41e0-ae8f-0e0999755cb9"/>
        <s v="af3b5a91-85ba-4545-94e2-6a5bf807cdd9"/>
        <s v="eec9fa67-4cc6-42fc-b006-ff85166a1a98"/>
        <s v="1f6ceec1-ac54-4740-a182-e35f848edc98"/>
        <s v="57c2747f-27b5-4ee7-8f1a-6c44f239fbb0"/>
        <s v="9f2d5db8-deba-489f-959d-e20409642b31"/>
        <s v="e668bb6e-c408-443f-a90d-07e4ce1f4081"/>
        <s v="3008a519-ad83-4951-a3ea-a00577f63854"/>
        <s v="2ae201c0-312a-4c3c-bf00-625769560c06"/>
        <s v="f2b72bd2-c97b-42af-8c10-ef0164119d38"/>
        <s v="56c6544d-f60c-4881-85ac-7520cd4668fe"/>
        <s v="d46e34aa-ae9d-4797-8284-e0bee33e270a"/>
        <s v="53fb2ed1-b953-4807-b009-61c3855a7d8d"/>
        <s v="8af37d72-ec4f-4490-84ea-f9432ee66e21"/>
        <s v="952b750d-9830-449d-99ef-bb41b66b6b0b"/>
        <s v="b050eb01-a22f-4818-a6f3-32446f1d5baf"/>
        <s v="a9c7ae92-e61b-4dc6-be52-5e4f9e203161"/>
        <s v="991ab513-369f-4284-adc6-41cd921bc646"/>
        <s v="7cddb4cc-3e33-4f35-886c-976870fe3cfc"/>
        <s v="5153f737-d7f1-4ec2-9a9d-add2e7aad070"/>
        <s v="0021b632-3246-47d9-bb29-66398e4a295d"/>
        <s v="3e2b6653-2258-4df3-8ff0-952a0b2591c4"/>
        <s v="9c272c51-ac98-4368-9fc8-b87a7176d181"/>
        <s v="1beaf9cf-af3c-49d0-a92c-3c3e3957f082"/>
        <s v="840658d1-c1da-4d39-b735-0626dca8b6fd"/>
        <s v="a2521f50-a54e-4c8f-acb3-077a6cef5e55"/>
        <s v="aedab7b5-e2aa-45a7-8951-03edfd05a5f5"/>
        <s v="31307e46-af79-4546-be51-68dc5690f74d"/>
        <s v="d7de701d-8eaf-4323-9f65-380029c836e0"/>
        <s v="640ca20c-702a-4b67-b7ae-77585b45cf5a"/>
        <s v="51497435-a9c9-424e-bd72-3837705bacc2"/>
        <s v="113c1836-77f4-431b-bde9-d47dd89331ac"/>
        <s v="1d010478-c110-412c-b843-1ed6258694b6"/>
        <s v="efb80c63-f42f-438f-a7e0-8e2fc06bad38"/>
        <s v="b52f6009-76c0-4651-b361-c49764e0dab3"/>
        <s v="5e2d2454-e462-42e7-b5c3-de958a647b9f"/>
        <s v="67f8ab57-0572-4bb5-8bee-2ebdb44788bd"/>
        <s v="698eecba-da98-4a57-966a-dfc43513198c"/>
        <s v="ca6cb87c-dfb8-4708-91d2-125a95e19cb6"/>
        <s v="a2251838-35e1-492e-8a74-bec56951743e"/>
        <s v="ab341860-fefd-420b-b5ef-aa99010f5ddf"/>
        <s v="e80bb7eb-a499-49cf-87e5-1bbc22e9e671"/>
        <s v="8b3e00e7-6151-487e-8f02-7fe87d5d9031"/>
        <s v="9ad73702-140a-442e-90e8-57f88986148f"/>
        <s v="c095e099-7e24-4205-bb00-d206f8542953"/>
        <s v="9df497f1-6b5a-474d-b436-7eaa03ea038f"/>
        <s v="156e3ae5-4fe4-4735-9c29-b6dac1d7fbe9"/>
        <s v="cef980ce-c471-421a-85f2-b928beb9c9e2"/>
        <s v="dd9539fc-f7cd-4b75-9d26-3e763d3703f8"/>
        <s v="f555a628-dd15-4fb4-9680-51b70723b796"/>
        <s v="773b8350-2743-40df-9e15-428a833cf90f"/>
        <s v="72789d75-97f0-4fcf-9c35-1dc942260a44"/>
        <s v="fb2323e7-d6a2-4379-a0c6-a8a74748f7ea"/>
        <s v="bef874d7-6251-474d-a1f9-c40838330558"/>
        <s v="3a724b9f-56fb-4c72-ad6a-1bfc81be81f4"/>
        <s v="ef82c4d6-438d-48b1-9719-64f8d2fb05ca"/>
        <s v="50c6fa8c-27a0-408c-8b44-361f16c7354a"/>
        <s v="7c2b940d-9045-4445-958c-d60ea07f7f47"/>
        <s v="86fe0ded-fe38-484b-b489-362c10345193"/>
        <s v="62b22fd5-51c6-42e4-af48-744f7abc9f0b"/>
        <s v="1dd95d4c-0637-4dca-9f46-30adbaaa6300"/>
        <s v="ef89c2e7-aa17-4666-9b6e-83a96f2af3b2"/>
        <s v="2449213a-c2fa-4184-a232-4672f64e8f4a"/>
        <s v="b49b93d5-1e70-4e19-87f7-9ee0e299cb48"/>
        <s v="a11b26b0-0823-4adf-bf75-12c56e05724d"/>
        <s v="1d8cca3b-6261-4790-83a0-61c445a16970"/>
        <s v="9dbdc6ff-5fad-4a0d-8aa8-3cd65804a881"/>
        <s v="bebbe60d-3085-4e6d-a31c-c5d2cd96a6a1"/>
        <s v="0f424ffa-8abb-472c-8aae-0c3ad31224e0"/>
        <s v="03927935-8d5f-42c0-83f0-ba7756b8002a"/>
        <s v="d1cae193-7ed6-4f4e-a875-176629530a13"/>
        <s v="4202faf9-dceb-4f56-a31c-a36b059ebb2e"/>
        <s v="feeac13d-5813-42c2-a33e-383454e27ea6"/>
        <s v="8fad725d-9d0b-4f5e-996d-362dfec24805"/>
        <s v="c20166e3-ca68-4a98-b48e-f9a86aeb5a32"/>
        <s v="1aac3ca1-920c-404e-8063-d5251152797e"/>
        <s v="ffbdfd47-dc79-42f0-9338-94b3854ca896"/>
        <s v="08df6b19-7c3a-4037-a0d5-c16e961139cf"/>
        <s v="393031a6-c82a-4c15-9733-f669852d8585"/>
        <s v="d61a43f2-8ecb-4971-98c8-ece658ea0417"/>
        <s v="2d5c6415-fedc-48f9-b78b-094cb5178761"/>
        <s v="3aeb5bc0-f63d-407c-a9d2-1bf8b1954990"/>
        <s v="b2c92c12-9bd9-4220-b38f-4acf66270136"/>
        <s v="28702bb1-5931-49b4-b061-46ffbecba4c8"/>
        <s v="e5039055-f90b-4724-b883-a8ea44e8a604"/>
        <s v="8c1a612b-fff9-4f34-b94d-9109593985b5"/>
        <s v="773a13fb-3750-4d77-b367-2754da2e6e6c"/>
        <s v="20e30a4d-fbce-4cd0-9050-f32cd4062cce"/>
        <s v="c6b4195c-aa19-4f26-8fa4-1d2246ddb0ac"/>
        <s v="a908923b-1551-4819-801d-ebf6c503ccb5"/>
        <s v="df4a518a-4ef0-4a9b-93fd-2516d1bfbaba"/>
        <s v="52c1b3c7-f33c-4233-8833-b07eb4d56ffc"/>
        <s v="039d60ba-9c99-4735-95a6-52a708fce7af"/>
        <s v="2a9e9a38-1d5a-474c-8da8-40fd4adb0798"/>
        <s v="338f8437-faa2-4bad-867a-6bdfb63c1dd8"/>
        <s v="dd7516f5-58aa-4383-8dff-06d28340fed5"/>
        <s v="80b2db0c-6a24-45cf-96c2-b4aa72f78920"/>
        <s v="1f69cd43-68bf-4f7e-94dc-2301882ab925"/>
        <s v="76847398-fabb-46b6-97f4-3de414934a25"/>
        <s v="4bebcf4f-2c94-451d-92fa-3935ff283550"/>
        <s v="ac73189c-6fdc-4e00-a0d9-da583db4cb81"/>
        <s v="05dd1ef0-0806-48c9-8967-49fbb2e02961"/>
        <s v="d87d3afc-a370-4e8a-821a-c45bd5e32aef"/>
        <s v="f9d0a163-def1-474a-9380-1f2544f06c4e"/>
        <s v="fa4b0bc6-5121-431f-9028-361fa94501d7"/>
        <s v="49954cf1-faaf-400c-a74b-3d208c3fa29f"/>
        <s v="3fb230b2-b55d-4442-8884-e6660c661a49"/>
        <s v="84403b37-b13b-4d4e-a368-f7d2d9732b86"/>
        <s v="0e5bc44c-98de-4bf6-8273-4d1c23d83f22"/>
        <s v="47e77e2b-6b29-4a13-a37c-3644c9345ce7"/>
        <s v="f367dbe2-40e3-469f-b9b6-6d71951a0518"/>
        <s v="88653e42-cefe-43ec-a918-4b9f501049e2"/>
        <s v="b550f221-72e5-4360-a3ae-b12e7d4fbfff"/>
        <s v="2b66b1c0-5fdd-4329-ac74-9cf41f7550bc"/>
        <s v="b4ca0142-3b23-4fd8-8d20-f686854df9b6"/>
        <s v="07d5e121-623a-45ae-ba31-a27cced4dd7c"/>
        <s v="1932263c-4eec-45b0-94c3-0b503d0daad0"/>
        <s v="20f12d46-e775-427e-aec0-12f0d3100ac5"/>
        <s v="e4bd7d57-03e3-425b-b00b-1433f5d61476"/>
        <s v="69f5a741-8686-4f29-9cb7-6bb9c0ff34b4"/>
        <s v="7ff5101d-3f1c-431b-86ff-76d11fe32b56"/>
        <s v="6e771359-677a-4eb7-84bf-c434481ce3f9"/>
        <s v="ed4879e7-efd1-44ee-b287-c4407881307d"/>
        <s v="e30d04fd-b58c-4e9f-aa0b-20400ef05b6f"/>
        <s v="33d4a096-5b78-41ea-8634-3347daa6b26a"/>
        <s v="cc869dea-38a7-4c54-a6b1-caba3fccb2c1"/>
        <s v="2fb01074-2532-4fd3-89f3-5bf84d03cbdd"/>
        <s v="8b4eb003-401a-4e8a-bba0-fd458d3ac4b9"/>
        <s v="dd3b8d93-3b8d-4d5b-ae66-5ecb06f9f4e6"/>
        <s v="ecdd001e-6ad8-464d-b8c5-ee78d214f218"/>
        <s v="2826ef27-f190-4b53-b489-f5c7e22f6e82"/>
        <s v="20fa5cd3-8f5a-4ade-821d-3ead3e4c1362"/>
        <s v="ae63ad3a-94d7-4681-9551-1e14e18d99ce"/>
        <s v="8625dcb0-3f79-4d31-beb7-78d62b021118"/>
        <s v="cc713ba6-4ca4-4e01-8621-8f7ffcd4fb19"/>
        <s v="b57a5c03-cb85-4da6-9b01-98ffde21c855"/>
        <s v="75fc1b10-b8d1-4539-8562-8912bdf2b5a1"/>
        <s v="33251c76-d8ef-45c9-a7a2-d2d0ca3c4050"/>
        <s v="618a4763-2af5-45a3-a97b-85380ff73f25"/>
        <s v="6282c33d-3665-46a5-a34d-a412816a5ea8"/>
        <s v="1a608f0d-7e41-42ad-86b0-915a8880f9fd"/>
        <s v="88662aba-1601-4cc6-9b16-0641207417e7"/>
        <s v="e4d08ebe-d335-414c-a62c-e6a302fbad7c"/>
        <s v="bf33551d-f629-4535-82b3-3be214ed05bd"/>
        <s v="65578e91-bee5-464d-be37-355efbdc678a"/>
        <s v="fc145cfe-469a-4289-ac91-c01e734c5192"/>
        <s v="a96e2bf4-5865-43b8-b915-486569967b5c"/>
        <s v="139e5ca2-b9e7-4780-821c-f26265739938"/>
        <s v="96062930-2860-4311-8315-d334e47c98ea"/>
        <s v="dba620f1-35bb-4db0-bda3-14883e1fa8ac"/>
        <s v="0dbcad25-daac-43a3-82f8-9ef40b9bcb7e"/>
        <s v="b17078ee-1129-40f2-8f21-ae6a82e2f424"/>
        <s v="b5cbb690-735b-4a80-bfbd-aeed723dc8f5"/>
        <s v="a9584453-c2ea-4172-a5a1-5243c7281f15"/>
        <s v="e15093b0-a07a-4b89-998d-f20b226dded0"/>
        <s v="992e7dea-0374-4263-8a06-09aa827acd0d"/>
        <s v="5ba48aa0-aab6-441b-99e8-484c25d203e3"/>
        <s v="4c1f59df-f6b4-460b-9466-c7725df5672b"/>
        <s v="40e5e8fa-b033-4368-a443-a7378072b635"/>
        <s v="ce91e0c9-7abd-4241-85c2-b1052234c40f"/>
        <s v="dafd518d-d55f-4e0e-af6b-e029bbef627f"/>
        <s v="56e16c2b-659b-4dcb-9bca-e27d331978eb"/>
        <s v="23aa9e67-70bc-4ec1-8d29-d77a793910e6"/>
        <s v="f0041e32-4bc0-4de3-9197-b56179b68b95"/>
        <s v="54f5edf7-e9bf-49f4-b373-9067cf085288"/>
        <s v="9a642c24-a34a-4c3e-9a68-fa2a59581c94"/>
        <s v="66b9b21b-9429-4726-a557-338d6175f16a"/>
        <s v="4c43745b-8063-4ef2-a534-28bbb20ed719"/>
        <s v="9090d244-c1d4-4db0-909b-f39cacb1691c"/>
        <s v="6e6b3eba-3055-484e-bc38-bfd6d7e23908"/>
        <s v="2adb6a67-83ad-4758-83e1-592e3765002d"/>
        <s v="98ecdbc6-cec7-490b-a3e8-6d638278e1e5"/>
        <s v="881f93bd-e669-46b6-81af-b76b84733c88"/>
        <s v="d610de6d-819d-49b4-a949-2308c710fab3"/>
        <s v="eac503ff-79d1-4233-a5c0-7ecfd38a1bdb"/>
        <s v="4d390362-6ef4-46b4-824c-222f577aa515"/>
        <s v="86d77094-a689-4303-a807-092d74ca0c56"/>
        <s v="31bf3b36-bac1-44b5-8a19-e5a80d5a2ad3"/>
        <s v="b0fde8c9-7575-417c-81ca-37f5f7de1a61"/>
        <s v="98e16bc0-3385-49c7-84ad-e7b7119b0fb4"/>
        <s v="fa9f941a-41a0-44be-9b0d-ff111a6c3c25"/>
        <s v="d35169bc-0044-4690-b17a-7c84cb3d7ee7"/>
        <s v="e55b88ff-f086-4962-b771-f867dfa2e52b"/>
        <s v="e83f3278-2c70-4901-9e3f-4f152f5c5cbe"/>
        <s v="9c017e5d-5c41-4fb5-a94a-29d3f73c3dce"/>
        <s v="acac00dc-024e-4609-8486-4d26cfd09276"/>
        <s v="054961d6-0438-43d4-a81b-3fe3fda48455"/>
        <s v="2adfd824-edae-4c39-aa9e-062a9b89bf0d"/>
        <s v="f65a1a2a-4f76-4aac-9ec2-2e0cd4cd82fa"/>
        <s v="d2bddb3b-649e-4503-bc73-7aead273dcbe"/>
        <s v="dbb59fc2-5cff-496e-bd03-c81f7ff35029"/>
        <s v="6e935faf-9502-41d5-967a-d0895acecdbf"/>
        <s v="0654f465-b311-49c4-9d86-fd12c8359b91"/>
        <s v="98082cf3-03a7-49aa-ac14-af79c4a0c1cd"/>
        <s v="bd05bc2c-5a50-4a98-85c5-5e39881d0ee1"/>
        <s v="624aadae-ebbc-41f6-9edf-f24b3567c813"/>
        <s v="cbae0e93-2f39-4045-91bb-91c132620328"/>
        <s v="26b18865-a878-4876-bf0d-f2ca2dc6c2ac"/>
        <s v="685e406b-8171-41eb-9766-c1439c9afcff"/>
        <s v="e919b5aa-f0c9-4bea-a0a1-f43f9638a3c7"/>
        <s v="00b425aa-e7eb-433c-ba08-79fbdc7843b3"/>
        <s v="9abf3e69-e5bc-47ed-afa6-80100ddd49b7"/>
        <s v="a5f3aa63-a5cb-4d9f-a579-49170806989a"/>
        <s v="15d0db43-80a1-4176-a2b3-4047ee4b0498"/>
        <s v="a20847d8-54ed-4b3b-8f70-70e66b58996c"/>
        <s v="d38b8f29-ed0c-4245-a053-6c6cea8713d2"/>
        <s v="0fbc0318-b6e4-416e-b066-8cc99e7f0271"/>
        <s v="50ed6af2-235f-4be1-b8b5-5fb556d1079c"/>
        <s v="bf3cfe56-a832-49e9-bae4-6529fa9fcece"/>
        <s v="7b33241e-fa22-45d7-bc6d-8ae1463e4336"/>
        <s v="4502d7f8-54a1-496c-a9ab-fb0d9be57401"/>
        <s v="756aa13d-13f1-484a-a55d-c720e5540022"/>
        <s v="e5e6190b-28da-4b89-8130-8a09cddd03bb"/>
        <s v="8f15c995-424a-4898-832e-9e1e1b908d6d"/>
        <s v="72a2761a-9ba6-4e98-a791-40e0b6fece9a"/>
        <s v="9b83a437-28b7-405b-abc2-ded76bd8e65f"/>
        <s v="205bf9e7-c42b-43fa-ab4d-e9deec7b009c"/>
        <s v="f02dd043-d01a-4ef6-a829-4aabafaf2b68"/>
        <s v="95a37efe-1cc7-42b6-899d-5f9ec634effd"/>
        <s v="2f9f5bf9-d6b6-45d0-9c87-284dc5fa8ac9"/>
        <s v="4b511edb-7b76-4615-b6b1-465dbf2b6442"/>
        <s v="af405e52-199a-4949-ba9d-82b8afbae6c3"/>
        <s v="46b01630-4321-4bf4-acff-30a0c3ac232c"/>
        <s v="5b0eec4b-a2a1-4a45-9c52-d51ec8fe0b2d"/>
        <s v="cd43cfeb-8938-4b90-9341-45328252f723"/>
        <s v="9b9a9bf5-0a78-491f-8211-550313218ef7"/>
        <s v="f4105d94-c689-437b-b945-23fe03cb8f1e"/>
        <s v="68795e63-1f74-4e70-a36b-3a5f23746ddd"/>
        <s v="7b38a089-fa4a-4dec-88a8-6e3a62937980"/>
        <s v="a1c56342-5033-45a4-86ec-9ad0e2cbef40"/>
        <s v="b3f175d0-15c7-4820-a3f3-e5aed1de4fa8"/>
        <s v="bfdf8a9e-9446-4493-a4d6-ce54645cc176"/>
        <s v="3590a2e5-0c78-4f2f-b9a1-1816fc7aad95"/>
        <s v="e70a26e9-eb6b-46ec-aa3a-5bf369946c6d"/>
        <s v="c83235cc-995d-467b-8c13-33ce07117e78"/>
        <s v="bb2c2c42-8f6d-4117-a1ea-a1fa663eab2b"/>
        <s v="679bcce2-681d-40de-8c15-514db40eb501"/>
        <s v="d5562dab-f4a9-44e3-ba4f-4535e45d8903"/>
        <s v="be216476-0e05-46b9-8bdd-4b9dfc2cd5c7"/>
        <s v="8adab689-e0dd-4541-b218-9a39d63a7486"/>
        <s v="e6e4ac85-f101-45fd-8f81-598725394778"/>
        <s v="96ab64d2-3512-4906-a4ed-017b208a888e"/>
        <s v="16db36e4-d4ae-4486-ab19-4984f49eb5a6"/>
        <s v="44933c86-49ad-4e95-b837-e5069398dbd6"/>
        <s v="af44eaeb-6734-462f-b62d-a54040b1f64d"/>
        <s v="dcbcd86e-a2e8-4f7a-9d6a-f484024d65de"/>
        <s v="c7361a75-c61b-4c77-8602-15be0d326347"/>
        <s v="a3b4e529-02a0-47fc-a04e-e43c11f63e9b"/>
        <s v="240eb6c1-c5cf-455f-a78d-b4f648df480e"/>
        <s v="227400da-81de-4808-82ff-347bd527b331"/>
        <s v="f4098aef-1d50-4ccf-bec0-9878f0344058"/>
        <s v="d20eab0e-bd87-44d8-81a5-0ef1550c54d4"/>
        <s v="548c3ec4-2536-4ca8-966a-45e952c51809"/>
        <s v="160d0b9e-1004-4975-8045-883b940f737e"/>
        <s v="7378e6ca-40fd-4aaa-b504-e26c5f7e07d3"/>
        <s v="7874166b-7c34-46eb-aeaa-ec4854f1a7a3"/>
        <s v="14b3f264-1598-434a-86c5-2c1b8923cba1"/>
        <s v="c6cbb179-6239-430a-b052-5bb650c67350"/>
        <s v="8d20dbea-7ae3-48cf-8ace-37d3673ef518"/>
        <s v="e80d2403-12f3-48a1-84c6-50276d05f2e3"/>
        <s v="664ceba8-a4ef-4def-a4cb-0b4e3825a7e1"/>
        <s v="503a65d5-82ed-45ab-9fde-522dd429e0c9"/>
        <s v="24a703e3-120a-402f-a11a-15c325efc3a9"/>
        <s v="a5005582-6250-49f9-88d1-7e6327e8aeae"/>
        <s v="116febe7-aa0c-4327-9daa-42fc90b15e3d"/>
        <s v="4d7e4449-90b6-4394-8482-36e9863c6992"/>
        <s v="de8e3228-aa64-4f16-b035-50885a2bf7fe"/>
        <s v="976ae5fb-66f1-40a0-ba1a-262bba13834f"/>
        <s v="ab6fc9e7-be72-4448-91b5-ab77d09e1abb"/>
        <s v="832d5e70-777c-4128-9f51-9184e79d4d5f"/>
        <s v="808ea422-c6f6-41d5-bb77-ba5f586076e3"/>
        <s v="c81a58a6-6245-4749-b9a6-edc1099fb91b"/>
        <s v="cae1367a-579e-4b08-9db1-3edffa29559d"/>
        <s v="93098549-3ff0-4579-81c3-df9183278f64"/>
        <s v="5e349e31-1c67-456d-b9ac-d84313b2cc15"/>
        <s v="3e6fdeb2-9e76-4f95-843e-ebcc6f69ed69"/>
        <s v="81ffbbc1-84c8-4b95-8637-da9e8bb62aff"/>
        <s v="91e54b3a-0a4e-4eb7-b97b-8d621c9527d0"/>
        <s v="5da23c06-f146-4080-8a2c-f6a95bd38392"/>
        <s v="7c6d74a8-44ee-4071-9745-ef5a2e0885fc"/>
        <s v="e1dafdd8-ea09-4bb2-8187-715f7baf204d"/>
        <s v="cfa88592-0055-4e42-ab49-6a3bf26ce972"/>
        <s v="a7838837-3c74-4bc2-8504-644fa5dc7c7b"/>
        <s v="b9ab308f-be2b-4272-ba37-e212a78c1cda"/>
        <s v="cd84344b-aef4-42a7-9821-6f30e31b9123"/>
        <s v="b9c3a78f-c8d3-4cee-9370-c51fd8e2ba4c"/>
        <s v="c2de5950-0b2f-42ef-ac09-59b82924b159"/>
        <s v="a8936bd3-86a2-4efb-baf0-cf69bd2098c6"/>
        <s v="d545de36-2a36-4435-ada0-4e30ff741d1c"/>
        <s v="af58e381-49ac-4f36-b202-054f62a10ce2"/>
        <s v="36890df9-7bd3-4c4b-948c-52c8e0f24eb3"/>
        <s v="7448f798-b50a-476c-86fc-cff0e9e4f06c"/>
        <s v="d36d8076-998b-4e1c-9f81-fca3ffb1c2c9"/>
        <s v="9c8fe812-2c64-4b82-abbe-bd4ff9e590e4"/>
        <s v="53e82886-9411-423a-90b4-17eb7111f1d1"/>
        <s v="c4fa9dd1-9160-4261-ae10-7e22fa7199d6"/>
        <s v="24e2e13a-a0e5-4d8c-9d75-24bcdd82016d"/>
        <s v="3cbafcaa-6435-40a0-adf5-e2aa832cb6a7"/>
        <s v="3d992624-4b93-48d9-a188-0ea05e5ecd0a"/>
        <s v="3de674fe-f66b-42a9-8142-452b361c57ab"/>
        <s v="ed825ea8-dda9-402a-964f-bdde895585be"/>
        <s v="749df1ff-f13a-4049-9f3f-a533e28cfc3c"/>
        <s v="9fbd4b9f-5675-4682-996d-66423cf87ff0"/>
        <s v="3e5aed83-5272-4246-a57e-a412a2157489"/>
        <s v="41b72448-c286-4234-9815-80dc24d878a1"/>
        <s v="b4642bad-8959-4298-ac48-1f988ce67bdc"/>
        <s v="e4c80a29-1d5f-4dfc-98b0-b4d7b5e16e19"/>
        <s v="346eba31-7ad5-4f81-b267-8417ec023a99"/>
        <s v="5ba1cdb6-99ae-49de-ae78-33c5b11bb2df"/>
        <s v="cd59bece-b5bc-4583-bfc3-4af19af08b9a"/>
        <s v="e79d1be2-7f29-486c-8a73-0eaa16bb4fb0"/>
        <s v="45ffa36b-63c2-423d-8b32-bc8635d5870d"/>
        <s v="d813a70f-5a9c-40b5-b3b8-87d38301c5b9"/>
        <s v="054f0566-bb1a-48e2-90b9-1e51681e5658"/>
        <s v="326ea68d-f4e3-4152-b12c-d4340b177efd"/>
        <s v="d8ce8d9a-29de-476a-94ce-14b39a9a56bc"/>
        <s v="4037fffa-14b8-417e-b555-5ded8ea5e386"/>
        <s v="7c8765b6-b04a-4620-89ab-05a8806094aa"/>
        <s v="d9371f2a-506e-4fc6-905d-2cb96b76911f"/>
        <s v="b334ebbc-ef6e-4981-be23-bd25ac788719"/>
        <s v="0df099c5-62a7-4dc7-b273-38fcdfa69923"/>
        <s v="e47e3d10-1d72-40fe-aa28-9858dd07edc6"/>
        <s v="28e2f201-fbb2-4429-95ab-42c50f08502e"/>
        <s v="b85f2ec4-9d6f-41b5-8420-e63bc34dfc64"/>
        <s v="8c46e2bc-4f12-40d5-b028-dab48f0c417a"/>
        <s v="ea8760aa-da4d-4a76-aa34-bfb4e62a3fb5"/>
        <s v="f230400a-386b-41c0-9ffe-6c117b51aca6"/>
        <s v="148680de-b9e7-49c6-96f4-8941ad283c0d"/>
        <s v="a0ce5b5f-ca56-4921-b942-2f1efed97f9e"/>
        <s v="047cd56e-fd6c-4364-8191-cbeb175bf448"/>
        <s v="835875c3-9520-49e4-a8fc-f210dac15a07"/>
        <s v="d112460c-bba1-4642-b4a8-bcd354b7e75b"/>
        <s v="e6b0643c-1884-47d8-be9f-9ff698bc2c7a"/>
        <s v="0a8f541d-052b-4051-bc24-1ca590425d14"/>
        <s v="eee05fb7-d2d6-440d-9871-1121c9e8060c"/>
        <s v="d0d65fdd-176b-4101-8fe5-143bbae8d99f"/>
        <s v="b5b46896-6432-4fe8-9ecc-ac5b968d4f41"/>
        <s v="93658891-e460-4a02-85ac-c61220de5de4"/>
        <s v="9c7221e4-ec1a-48a3-ad51-fa2bf13a2ff3"/>
        <s v="e195f855-dd4b-4f7e-b559-ddc787fde43c"/>
        <s v="28a3938c-4ba4-45e2-8718-e12c32a564ff"/>
        <s v="f3807543-9722-4f90-af07-3516e8a14cd3"/>
        <s v="e03cc361-214e-40ee-a30c-2ebd39dc2c06"/>
        <s v="c9d9db15-7efa-4e99-8204-5f8c3a72a669"/>
        <s v="9dbff93f-bc03-4029-a530-53ae4db1762e"/>
        <s v="22e7ee59-1414-4ca8-b455-f1f64574a37e"/>
        <s v="682e4002-a9f1-4f7c-97ea-0686e5f14395"/>
        <s v="32e97761-2e97-4c72-b3c7-3944f95c46f7"/>
        <s v="59f88a69-0466-4d6b-96ba-d500ded1b802"/>
        <s v="ad982a08-7ad0-4668-a892-d63b89aeb616"/>
        <s v="bdc5a588-d0ab-4ea4-815f-47ca204e6817"/>
        <s v="b86137c3-e5ff-47d4-94e1-53ca45568d6d"/>
        <s v="b0f62b9e-da34-4d17-9e31-e1f9b30cc272"/>
        <s v="99605cd1-cab2-4a0a-877e-2817ddd1b251"/>
        <s v="e4ed458b-010a-43f8-b877-87e2bc8a8038"/>
        <s v="bd869312-3506-4af5-92eb-e96b24b7d424"/>
        <s v="6b0efd01-00dd-48b3-acea-35a393d5e33b"/>
        <s v="89de7a2c-7c26-4722-a53d-c9ce208d549b"/>
        <s v="f317930e-5199-4cf1-80d9-a24e0a833038"/>
        <s v="74e56c68-2ca5-40cb-ab78-a4ee385127f1"/>
        <s v="714d85bd-e197-4c14-aa06-9b5b510d115a"/>
        <s v="a3289b58-a62f-45c2-b0cc-8eec3b3fd363"/>
        <s v="b51e3a7b-acdf-4038-867c-cafabbe74e1b"/>
        <s v="7d7a0bfa-598c-4a5c-99b2-b59530519f6a"/>
        <s v="96b09e29-89e4-49df-9a45-a71745ac1564"/>
        <s v="49262a13-37c6-4f46-8860-95c2f812b022"/>
        <s v="2cd9f51a-10c3-43bd-a478-a3998d682a61"/>
        <s v="970a06dc-f444-4dae-9d21-ae7c60252b8d"/>
        <s v="845414a1-185f-4df3-a6d5-eb2ee891f80c"/>
        <s v="dec8633f-b738-48a4-a373-624bda3f22d1"/>
        <s v="24e90316-75f8-4092-aa4f-44cfeafd080b"/>
        <s v="bbca76e0-e56a-47e7-82f8-11266c2c90a7"/>
        <s v="ca92720a-c2e8-4ae2-b1f0-e15089419b16"/>
        <s v="43db0235-1184-48fb-bd33-5a642d79f3f6"/>
        <s v="604c83ca-53b9-4632-b967-522170c43406"/>
        <s v="d5475c92-5825-42e1-8d1f-90ad830a2393"/>
        <s v="b8d08f28-bc50-4aeb-a3d8-5381dcd29168"/>
        <s v="c5b0b3c8-2038-48f6-8cb1-2015624aff3d"/>
        <s v="91b92f8b-8a84-4529-b662-f7edb5b85fb3"/>
        <s v="4e2e2c6e-08e7-4744-a7f3-c30f26e5e2da"/>
        <s v="c2ebbadc-8428-4344-b194-8be49de0103a"/>
        <s v="35cb60f2-6a75-4179-bd14-f9d493510969"/>
        <s v="fd642ae2-6434-4207-b415-14cc77fd7fd1"/>
        <s v="66f0f769-8909-41ba-98fa-547216752b38"/>
        <s v="7770ca8d-ac69-4006-81b8-4ea71f217475"/>
        <s v="08439ba1-2afd-45c3-a748-4ffbbfd9de84"/>
        <s v="185aeb98-3d9f-4e80-bba6-857733964543"/>
        <s v="11d56acf-680f-45e2-a0c3-6cdd9937f592"/>
        <s v="366e3cca-8c47-4390-941c-c2bce3352f8b"/>
        <s v="7de5b4a3-37ef-473e-b2de-c6d586901942"/>
        <s v="dbf9a793-ecb9-4b39-b103-d90417426bd0"/>
        <s v="9a924849-2156-4d5e-8361-50061981f0d4"/>
        <s v="851143e5-93aa-4480-8cdc-538931ffba99"/>
        <s v="99cb37c7-6e7f-4ad2-9efb-00b7a397b217"/>
        <s v="e9b74954-a41a-4d31-9d5e-b2d16518020a"/>
      </sharedItems>
    </cacheField>
    <cacheField name="order_date" numFmtId="164">
      <sharedItems containsSemiMixedTypes="0" containsNonDate="0" containsDate="1" containsString="0" minDate="2023-01-01T00:00:00Z" maxDate="2024-01-01T00:00:00Z">
        <d v="2023-06-22T00:00:00Z"/>
        <d v="2023-02-17T00:00:00Z"/>
        <d v="2023-04-28T00:00:00Z"/>
        <d v="2023-07-12T00:00:00Z"/>
        <d v="2023-11-20T00:00:00Z"/>
        <d v="2023-09-09T00:00:00Z"/>
        <d v="2023-07-15T00:00:00Z"/>
        <d v="2023-12-26T00:00:00Z"/>
        <d v="2023-01-10T00:00:00Z"/>
        <d v="2023-07-31T00:00:00Z"/>
        <d v="2023-10-05T00:00:00Z"/>
        <d v="2023-08-31T00:00:00Z"/>
        <d v="2023-10-20T00:00:00Z"/>
        <d v="2023-03-29T00:00:00Z"/>
        <d v="2023-03-12T00:00:00Z"/>
        <d v="2023-03-30T00:00:00Z"/>
        <d v="2023-11-11T00:00:00Z"/>
        <d v="2023-07-13T00:00:00Z"/>
        <d v="2023-02-09T00:00:00Z"/>
        <d v="2023-06-24T00:00:00Z"/>
        <d v="2023-12-04T00:00:00Z"/>
        <d v="2023-06-15T00:00:00Z"/>
        <d v="2023-01-26T00:00:00Z"/>
        <d v="2023-11-30T00:00:00Z"/>
        <d v="2023-03-14T00:00:00Z"/>
        <d v="2023-09-23T00:00:00Z"/>
        <d v="2023-04-26T00:00:00Z"/>
        <d v="2023-09-01T00:00:00Z"/>
        <d v="2023-07-17T00:00:00Z"/>
        <d v="2023-12-02T00:00:00Z"/>
        <d v="2023-12-05T00:00:00Z"/>
        <d v="2023-04-10T00:00:00Z"/>
        <d v="2023-06-27T00:00:00Z"/>
        <d v="2023-10-13T00:00:00Z"/>
        <d v="2023-05-28T00:00:00Z"/>
        <d v="2023-10-16T00:00:00Z"/>
        <d v="2023-07-05T00:00:00Z"/>
        <d v="2023-05-08T00:00:00Z"/>
        <d v="2023-02-02T00:00:00Z"/>
        <d v="2023-02-01T00:00:00Z"/>
        <d v="2023-07-22T00:00:00Z"/>
        <d v="2023-09-02T00:00:00Z"/>
        <d v="2023-06-01T00:00:00Z"/>
        <d v="2023-06-13T00:00:00Z"/>
        <d v="2023-07-03T00:00:00Z"/>
        <d v="2023-01-29T00:00:00Z"/>
        <d v="2023-10-18T00:00:00Z"/>
        <d v="2023-05-09T00:00:00Z"/>
        <d v="2023-02-23T00:00:00Z"/>
        <d v="2023-02-08T00:00:00Z"/>
        <d v="2023-10-01T00:00:00Z"/>
        <d v="2023-04-16T00:00:00Z"/>
        <d v="2023-02-12T00:00:00Z"/>
        <d v="2023-09-15T00:00:00Z"/>
        <d v="2023-11-18T00:00:00Z"/>
        <d v="2023-02-27T00:00:00Z"/>
        <d v="2023-10-19T00:00:00Z"/>
        <d v="2023-12-25T00:00:00Z"/>
        <d v="2023-04-30T00:00:00Z"/>
        <d v="2023-09-25T00:00:00Z"/>
        <d v="2023-03-24T00:00:00Z"/>
        <d v="2023-04-02T00:00:00Z"/>
        <d v="2023-05-02T00:00:00Z"/>
        <d v="2023-03-26T00:00:00Z"/>
        <d v="2023-07-23T00:00:00Z"/>
        <d v="2023-11-21T00:00:00Z"/>
        <d v="2023-09-20T00:00:00Z"/>
        <d v="2023-05-12T00:00:00Z"/>
        <d v="2023-12-23T00:00:00Z"/>
        <d v="2023-06-30T00:00:00Z"/>
        <d v="2023-12-01T00:00:00Z"/>
        <d v="2023-05-24T00:00:00Z"/>
        <d v="2023-05-29T00:00:00Z"/>
        <d v="2023-08-16T00:00:00Z"/>
        <d v="2023-10-07T00:00:00Z"/>
        <d v="2023-07-27T00:00:00Z"/>
        <d v="2023-12-08T00:00:00Z"/>
        <d v="2023-02-18T00:00:00Z"/>
        <d v="2023-11-02T00:00:00Z"/>
        <d v="2023-03-11T00:00:00Z"/>
        <d v="2023-06-19T00:00:00Z"/>
        <d v="2023-04-06T00:00:00Z"/>
        <d v="2023-04-05T00:00:00Z"/>
        <d v="2023-09-14T00:00:00Z"/>
        <d v="2023-06-28T00:00:00Z"/>
        <d v="2023-11-01T00:00:00Z"/>
        <d v="2023-12-16T00:00:00Z"/>
        <d v="2023-04-09T00:00:00Z"/>
        <d v="2023-07-21T00:00:00Z"/>
        <d v="2023-01-01T00:00:00Z"/>
        <d v="2023-02-13T00:00:00Z"/>
        <d v="2023-01-24T00:00:00Z"/>
        <d v="2023-07-07T00:00:00Z"/>
        <d v="2023-05-11T00:00:00Z"/>
        <d v="2023-03-04T00:00:00Z"/>
        <d v="2023-08-11T00:00:00Z"/>
        <d v="2023-05-04T00:00:00Z"/>
        <d v="2023-07-29T00:00:00Z"/>
        <d v="2023-02-20T00:00:00Z"/>
        <d v="2023-09-28T00:00:00Z"/>
        <d v="2023-02-11T00:00:00Z"/>
        <d v="2023-02-28T00:00:00Z"/>
        <d v="2023-02-06T00:00:00Z"/>
        <d v="2023-09-24T00:00:00Z"/>
        <d v="2023-03-28T00:00:00Z"/>
        <d v="2023-12-27T00:00:00Z"/>
        <d v="2023-01-12T00:00:00Z"/>
        <d v="2023-09-16T00:00:00Z"/>
        <d v="2023-11-04T00:00:00Z"/>
        <d v="2023-03-22T00:00:00Z"/>
        <d v="2023-07-02T00:00:00Z"/>
        <d v="2023-10-22T00:00:00Z"/>
        <d v="2023-10-03T00:00:00Z"/>
        <d v="2023-07-04T00:00:00Z"/>
        <d v="2023-03-19T00:00:00Z"/>
        <d v="2023-10-14T00:00:00Z"/>
        <d v="2023-10-08T00:00:00Z"/>
        <d v="2023-05-06T00:00:00Z"/>
        <d v="2023-01-04T00:00:00Z"/>
        <d v="2023-08-15T00:00:00Z"/>
        <d v="2023-12-30T00:00:00Z"/>
        <d v="2023-09-27T00:00:00Z"/>
        <d v="2023-10-24T00:00:00Z"/>
        <d v="2023-11-25T00:00:00Z"/>
        <d v="2023-01-20T00:00:00Z"/>
        <d v="2023-09-06T00:00:00Z"/>
        <d v="2023-11-14T00:00:00Z"/>
        <d v="2023-12-19T00:00:00Z"/>
        <d v="2023-09-18T00:00:00Z"/>
        <d v="2023-08-26T00:00:00Z"/>
        <d v="2023-05-20T00:00:00Z"/>
        <d v="2023-04-20T00:00:00Z"/>
        <d v="2023-11-28T00:00:00Z"/>
        <d v="2023-01-17T00:00:00Z"/>
        <d v="2023-06-02T00:00:00Z"/>
        <d v="2023-05-30T00:00:00Z"/>
        <d v="2023-04-21T00:00:00Z"/>
        <d v="2023-03-25T00:00:00Z"/>
        <d v="2023-06-11T00:00:00Z"/>
        <d v="2023-08-17T00:00:00Z"/>
        <d v="2023-11-23T00:00:00Z"/>
        <d v="2023-10-15T00:00:00Z"/>
        <d v="2023-01-14T00:00:00Z"/>
        <d v="2023-11-24T00:00:00Z"/>
        <d v="2023-03-21T00:00:00Z"/>
        <d v="2023-10-02T00:00:00Z"/>
        <d v="2023-02-10T00:00:00Z"/>
        <d v="2023-06-16T00:00:00Z"/>
        <d v="2023-04-22T00:00:00Z"/>
        <d v="2023-05-10T00:00:00Z"/>
        <d v="2023-08-12T00:00:00Z"/>
        <d v="2023-10-28T00:00:00Z"/>
        <d v="2023-08-05T00:00:00Z"/>
        <d v="2023-01-25T00:00:00Z"/>
        <d v="2023-03-09T00:00:00Z"/>
        <d v="2023-09-17T00:00:00Z"/>
        <d v="2023-08-23T00:00:00Z"/>
        <d v="2023-07-24T00:00:00Z"/>
        <d v="2023-08-03T00:00:00Z"/>
        <d v="2023-07-09T00:00:00Z"/>
        <d v="2023-08-04T00:00:00Z"/>
        <d v="2023-04-15T00:00:00Z"/>
        <d v="2023-08-01T00:00:00Z"/>
        <d v="2023-05-19T00:00:00Z"/>
        <d v="2023-06-06T00:00:00Z"/>
        <d v="2023-01-28T00:00:00Z"/>
        <d v="2023-08-06T00:00:00Z"/>
        <d v="2023-11-06T00:00:00Z"/>
        <d v="2023-01-30T00:00:00Z"/>
        <d v="2023-02-05T00:00:00Z"/>
        <d v="2023-10-23T00:00:00Z"/>
        <d v="2023-03-15T00:00:00Z"/>
        <d v="2023-10-25T00:00:00Z"/>
        <d v="2023-10-30T00:00:00Z"/>
        <d v="2023-08-07T00:00:00Z"/>
        <d v="2023-12-31T00:00:00Z"/>
        <d v="2023-07-19T00:00:00Z"/>
        <d v="2023-03-03T00:00:00Z"/>
        <d v="2023-12-20T00:00:00Z"/>
        <d v="2023-02-14T00:00:00Z"/>
        <d v="2023-02-03T00:00:00Z"/>
        <d v="2023-05-14T00:00:00Z"/>
        <d v="2023-08-21T00:00:00Z"/>
        <d v="2023-09-13T00:00:00Z"/>
        <d v="2023-09-12T00:00:00Z"/>
        <d v="2023-05-17T00:00:00Z"/>
        <d v="2023-12-14T00:00:00Z"/>
        <d v="2023-06-18T00:00:00Z"/>
        <d v="2023-06-26T00:00:00Z"/>
        <d v="2023-04-25T00:00:00Z"/>
        <d v="2023-08-30T00:00:00Z"/>
        <d v="2023-10-17T00:00:00Z"/>
        <d v="2023-05-27T00:00:00Z"/>
        <d v="2023-08-10T00:00:00Z"/>
        <d v="2023-12-07T00:00:00Z"/>
        <d v="2023-01-03T00:00:00Z"/>
        <d v="2023-12-24T00:00:00Z"/>
        <d v="2023-09-11T00:00:00Z"/>
        <d v="2023-11-19T00:00:00Z"/>
        <d v="2023-05-31T00:00:00Z"/>
        <d v="2023-05-26T00:00:00Z"/>
        <d v="2023-07-18T00:00:00Z"/>
        <d v="2023-12-15T00:00:00Z"/>
        <d v="2023-04-04T00:00:00Z"/>
        <d v="2023-12-12T00:00:00Z"/>
        <d v="2023-11-26T00:00:00Z"/>
        <d v="2023-03-05T00:00:00Z"/>
        <d v="2023-04-17T00:00:00Z"/>
        <d v="2023-06-14T00:00:00Z"/>
        <d v="2023-04-27T00:00:00Z"/>
        <d v="2023-07-11T00:00:00Z"/>
        <d v="2023-08-27T00:00:00Z"/>
        <d v="2023-06-10T00:00:00Z"/>
        <d v="2023-03-23T00:00:00Z"/>
        <d v="2023-05-01T00:00:00Z"/>
        <d v="2023-11-17T00:00:00Z"/>
        <d v="2023-08-09T00:00:00Z"/>
        <d v="2023-10-09T00:00:00Z"/>
        <d v="2023-10-12T00:00:00Z"/>
        <d v="2023-10-04T00:00:00Z"/>
        <d v="2023-01-23T00:00:00Z"/>
        <d v="2023-05-16T00:00:00Z"/>
        <d v="2023-05-22T00:00:00Z"/>
        <d v="2023-01-06T00:00:00Z"/>
        <d v="2023-01-05T00:00:00Z"/>
        <d v="2023-10-10T00:00:00Z"/>
        <d v="2023-03-16T00:00:00Z"/>
        <d v="2023-11-05T00:00:00Z"/>
        <d v="2023-08-08T00:00:00Z"/>
        <d v="2023-12-28T00:00:00Z"/>
        <d v="2023-02-21T00:00:00Z"/>
        <d v="2023-06-08T00:00:00Z"/>
        <d v="2023-11-08T00:00:00Z"/>
        <d v="2023-12-10T00:00:00Z"/>
        <d v="2023-03-01T00:00:00Z"/>
        <d v="2023-12-03T00:00:00Z"/>
        <d v="2023-06-04T00:00:00Z"/>
        <d v="2023-05-05T00:00:00Z"/>
        <d v="2023-06-17T00:00:00Z"/>
        <d v="2023-07-28T00:00:00Z"/>
        <d v="2023-09-22T00:00:00Z"/>
        <d v="2023-03-02T00:00:00Z"/>
        <d v="2023-02-26T00:00:00Z"/>
        <d v="2023-04-11T00:00:00Z"/>
        <d v="2023-01-31T00:00:00Z"/>
        <d v="2023-02-24T00:00:00Z"/>
        <d v="2023-06-03T00:00:00Z"/>
        <d v="2023-12-09T00:00:00Z"/>
        <d v="2023-01-08T00:00:00Z"/>
        <d v="2023-05-18T00:00:00Z"/>
        <d v="2023-12-06T00:00:00Z"/>
        <d v="2023-05-07T00:00:00Z"/>
        <d v="2023-10-26T00:00:00Z"/>
        <d v="2023-03-07T00:00:00Z"/>
        <d v="2023-01-21T00:00:00Z"/>
        <d v="2023-04-23T00:00:00Z"/>
        <d v="2023-11-29T00:00:00Z"/>
        <d v="2023-11-27T00:00:00Z"/>
        <d v="2023-08-14T00:00:00Z"/>
        <d v="2023-07-06T00:00:00Z"/>
        <d v="2023-12-22T00:00:00Z"/>
        <d v="2023-11-22T00:00:00Z"/>
        <d v="2023-05-15T00:00:00Z"/>
        <d v="2023-01-27T00:00:00Z"/>
        <d v="2023-08-13T00:00:00Z"/>
        <d v="2023-09-04T00:00:00Z"/>
        <d v="2023-08-02T00:00:00Z"/>
        <d v="2023-04-19T00:00:00Z"/>
        <d v="2023-04-13T00:00:00Z"/>
        <d v="2023-04-18T00:00:00Z"/>
        <d v="2023-06-21T00:00:00Z"/>
        <d v="2023-02-16T00:00:00Z"/>
        <d v="2023-06-29T00:00:00Z"/>
        <d v="2023-03-31T00:00:00Z"/>
        <d v="2023-04-07T00:00:00Z"/>
        <d v="2023-07-26T00:00:00Z"/>
        <d v="2023-11-12T00:00:00Z"/>
        <d v="2023-11-10T00:00:00Z"/>
        <d v="2023-06-23T00:00:00Z"/>
        <d v="2023-08-22T00:00:00Z"/>
        <d v="2023-05-13T00:00:00Z"/>
        <d v="2023-07-14T00:00:00Z"/>
        <d v="2023-07-10T00:00:00Z"/>
        <d v="2023-07-25T00:00:00Z"/>
        <d v="2023-12-21T00:00:00Z"/>
        <d v="2023-04-01T00:00:00Z"/>
        <d v="2023-10-31T00:00:00Z"/>
        <d v="2023-01-07T00:00:00Z"/>
        <d v="2023-09-03T00:00:00Z"/>
        <d v="2023-01-16T00:00:00Z"/>
        <d v="2023-08-18T00:00:00Z"/>
        <d v="2023-09-26T00:00:00Z"/>
        <d v="2023-03-08T00:00:00Z"/>
        <d v="2023-06-05T00:00:00Z"/>
        <d v="2023-12-11T00:00:00Z"/>
        <d v="2023-07-08T00:00:00Z"/>
        <d v="2023-04-03T00:00:00Z"/>
        <d v="2023-06-09T00:00:00Z"/>
      </sharedItems>
      <fieldGroup base="2">
        <rangePr autoStart="0" autoEnd="0" groupBy="months" startDate="2023-01-01T00:00:00Z" endDate="2024-01-01T00:00:00Z"/>
        <groupItems>
          <s v="&lt;01/01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1/24"/>
        </groupItems>
      </fieldGroup>
    </cacheField>
    <cacheField name="product_id" numFmtId="49">
      <sharedItems>
        <s v="47905535"/>
        <s v="3738306"/>
        <s v="23771949"/>
        <s v="46541918"/>
        <s v="75991326"/>
        <s v="63074284"/>
        <s v="52185519"/>
        <s v="53348661"/>
        <s v="60271426"/>
        <s v="83975295"/>
        <s v="29643127"/>
        <s v="27862049"/>
        <s v="79151177"/>
        <s v="38009174"/>
        <s v="49486230"/>
        <s v="19827308"/>
        <s v="32922998"/>
        <s v="21141492"/>
        <s v="79496018"/>
        <s v="27055465"/>
        <s v="60433190"/>
        <s v="23837508"/>
        <s v="46988256"/>
        <s v="98634170"/>
        <s v="43441525"/>
        <s v="70670486"/>
        <s v="96799833"/>
        <s v="20416430"/>
        <s v="77486295"/>
        <s v="74203543"/>
        <s v="10645932"/>
        <s v="56213577"/>
        <s v="72566657"/>
        <s v="91187215"/>
        <s v="8673619"/>
        <s v="60492449"/>
        <s v="81850204"/>
        <s v="15573353"/>
        <s v="97482765"/>
        <s v="1015348"/>
        <s v="81841189"/>
        <s v="94031270"/>
        <s v="22742797"/>
        <s v="8601148"/>
        <s v="16346376"/>
        <s v="98852604"/>
        <s v="96934586"/>
        <s v="57745428"/>
        <s v="23750579"/>
        <s v="94301786"/>
        <s v="23695825"/>
        <s v="7677502"/>
        <s v="39317216"/>
        <s v="88694313"/>
        <s v="60875037"/>
        <s v="94678413"/>
        <s v="1566635"/>
        <s v="47680647"/>
        <s v="72666999"/>
        <s v="47854697"/>
        <s v="25067743"/>
        <s v="13536091"/>
        <s v="52271120"/>
        <s v="90320866"/>
        <s v="62467483"/>
        <s v="2721170"/>
        <s v="44460945"/>
        <s v="57104379"/>
        <s v="48361606"/>
        <s v="1504408"/>
        <s v="902922"/>
        <s v="71920825"/>
        <s v="11191315"/>
        <s v="76117787"/>
        <s v="28125686"/>
        <s v="21808319"/>
        <s v="65858981"/>
        <s v="64391298"/>
        <s v="65458501"/>
        <s v="243223"/>
        <s v="17724425"/>
        <s v="2553184"/>
        <s v="72453193"/>
        <s v="35614685"/>
        <s v="50536061"/>
        <s v="84240415"/>
        <s v="56043242"/>
        <s v="58127391"/>
        <s v="99164041"/>
        <s v="925266"/>
        <s v="39830838"/>
        <s v="78799554"/>
        <s v="51065270"/>
        <s v="36903979"/>
        <s v="66226673"/>
        <s v="34129043"/>
        <s v="21242649"/>
        <s v="86586771"/>
        <s v="14954443"/>
        <s v="69807886"/>
        <s v="36460069"/>
        <s v="81400768"/>
        <s v="85878785"/>
        <s v="79290951"/>
        <s v="34613122"/>
        <s v="97275725"/>
        <s v="74758302"/>
        <s v="58468913"/>
        <s v="42822158"/>
        <s v="30077195"/>
        <s v="80279297"/>
        <s v="41452752"/>
        <s v="5119141"/>
        <s v="49520767"/>
        <s v="63164763"/>
        <s v="76263637"/>
        <s v="41275542"/>
        <s v="75327255"/>
        <s v="37218997"/>
        <s v="75215248"/>
        <s v="51165543"/>
        <s v="50342280"/>
        <s v="27318416"/>
        <s v="6167721"/>
        <s v="20121693"/>
        <s v="14199134"/>
        <s v="46287458"/>
        <s v="26422138"/>
        <s v="85715868"/>
        <s v="47025271"/>
        <s v="33127613"/>
        <s v="53152336"/>
        <s v="98575978"/>
        <s v="84409928"/>
        <s v="43881475"/>
        <s v="21078880"/>
        <s v="99866594"/>
        <s v="53572806"/>
        <s v="72018026"/>
        <s v="10543108"/>
        <s v="32568950"/>
        <s v="63609394"/>
        <s v="7062315"/>
        <s v="92544758"/>
        <s v="86754842"/>
        <s v="78565647"/>
        <s v="3746622"/>
        <s v="27329313"/>
        <s v="48829274"/>
        <s v="17362108"/>
        <s v="80119227"/>
        <s v="93551168"/>
        <s v="72598399"/>
        <s v="39979414"/>
        <s v="26132242"/>
        <s v="45275814"/>
        <s v="16003569"/>
        <s v="35691518"/>
        <s v="79743600"/>
        <s v="55218474"/>
        <s v="9228955"/>
        <s v="71647401"/>
        <s v="60712455"/>
        <s v="49277098"/>
        <s v="52604294"/>
        <s v="21687822"/>
        <s v="65285923"/>
        <s v="11313731"/>
        <s v="6545949"/>
        <s v="78047631"/>
        <s v="70896534"/>
        <s v="95422435"/>
        <s v="15624499"/>
        <s v="26012667"/>
        <s v="11938132"/>
        <s v="57891224"/>
        <s v="99907433"/>
        <s v="80710097"/>
        <s v="32738490"/>
        <s v="91258090"/>
        <s v="54839403"/>
        <s v="96515457"/>
        <s v="14925009"/>
        <s v="96063699"/>
        <s v="74029785"/>
        <s v="10012666"/>
        <s v="92381001"/>
        <s v="66426059"/>
        <s v="68385934"/>
        <s v="6780357"/>
        <s v="72933039"/>
        <s v="14554223"/>
        <s v="96406199"/>
        <s v="72636626"/>
        <s v="87950984"/>
        <s v="33867397"/>
        <s v="18122404"/>
        <s v="51298920"/>
        <s v="86405201"/>
        <s v="83794605"/>
        <s v="39435149"/>
        <s v="75404154"/>
        <s v="43533336"/>
        <s v="61842564"/>
        <s v="8086143"/>
        <s v="38411861"/>
        <s v="85221444"/>
        <s v="27438930"/>
        <s v="17356459"/>
        <s v="12758210"/>
        <s v="76759475"/>
        <s v="24061797"/>
        <s v="21163418"/>
        <s v="69480904"/>
        <s v="66853329"/>
        <s v="11892458"/>
        <s v="78362994"/>
        <s v="25205213"/>
        <s v="85931817"/>
        <s v="78974593"/>
        <s v="13064853"/>
        <s v="39541727"/>
        <s v="1745474"/>
        <s v="5535552"/>
        <s v="63069846"/>
        <s v="69081507"/>
        <s v="62120845"/>
        <s v="35391364"/>
        <s v="54017467"/>
        <s v="32702026"/>
        <s v="90150333"/>
        <s v="74495856"/>
        <s v="79803236"/>
        <s v="31210980"/>
        <s v="19967769"/>
        <s v="9858329"/>
        <s v="94846980"/>
        <s v="7993640"/>
        <s v="84159489"/>
        <s v="47719453"/>
        <s v="16501591"/>
        <s v="18390001"/>
        <s v="47180734"/>
        <s v="48443692"/>
        <s v="77450999"/>
        <s v="94151268"/>
        <s v="74549320"/>
        <s v="87747119"/>
        <s v="28045557"/>
        <s v="6524708"/>
        <s v="88454955"/>
        <s v="15079251"/>
        <s v="94470727"/>
        <s v="35310679"/>
        <s v="69050077"/>
        <s v="43271689"/>
        <s v="4120049"/>
        <s v="68941574"/>
        <s v="95453088"/>
        <s v="37806507"/>
        <s v="83183089"/>
        <s v="52397875"/>
        <s v="62742054"/>
        <s v="45436000"/>
        <s v="12959204"/>
        <s v="8292124"/>
        <s v="28266051"/>
        <s v="45903908"/>
        <s v="55519557"/>
        <s v="16359420"/>
        <s v="38292811"/>
        <s v="59989196"/>
        <s v="25474725"/>
        <s v="66515241"/>
        <s v="25715545"/>
        <s v="52633294"/>
        <s v="79693059"/>
        <s v="20769109"/>
        <s v="64936093"/>
        <s v="36977963"/>
        <s v="66042259"/>
        <s v="18972962"/>
        <s v="32407570"/>
        <s v="58349076"/>
        <s v="24350495"/>
        <s v="63039627"/>
        <s v="49832693"/>
        <s v="75792091"/>
        <s v="66542476"/>
        <s v="46937322"/>
        <s v="77063847"/>
        <s v="61442238"/>
        <s v="42253990"/>
        <s v="20124946"/>
        <s v="42049517"/>
        <s v="64598840"/>
        <s v="18800562"/>
        <s v="97593164"/>
        <s v="61948525"/>
        <s v="265058"/>
        <s v="58996812"/>
        <s v="19833583"/>
        <s v="62010535"/>
        <s v="69163517"/>
        <s v="12432363"/>
        <s v="63308464"/>
        <s v="38195549"/>
        <s v="83793905"/>
        <s v="91461018"/>
        <s v="55194136"/>
        <s v="49116724"/>
        <s v="53232090"/>
        <s v="7788369"/>
        <s v="33915241"/>
        <s v="17737470"/>
        <s v="37293963"/>
        <s v="56462296"/>
        <s v="87139594"/>
        <s v="40473635"/>
        <s v="49505061"/>
        <s v="9800069"/>
        <s v="94750867"/>
        <s v="16405004"/>
        <s v="51908195"/>
        <s v="80399643"/>
        <s v="11212836"/>
        <s v="37946302"/>
        <s v="88713267"/>
        <s v="71331263"/>
        <s v="76493805"/>
        <s v="86279208"/>
        <s v="46977960"/>
        <s v="58314883"/>
        <s v="35438649"/>
        <s v="46553140"/>
        <s v="43136827"/>
        <s v="53673480"/>
        <s v="56197716"/>
        <s v="21844065"/>
        <s v="63092066"/>
        <s v="65660478"/>
        <s v="99010294"/>
        <s v="83256288"/>
        <s v="47314290"/>
        <s v="33200743"/>
        <s v="48067928"/>
        <s v="2086514"/>
        <s v="50783465"/>
        <s v="6772314"/>
        <s v="88183862"/>
        <s v="54390546"/>
        <s v="19921709"/>
        <s v="75462086"/>
        <s v="22634986"/>
        <s v="90030956"/>
        <s v="47944855"/>
        <s v="52178115"/>
        <s v="22563842"/>
        <s v="55480819"/>
        <s v="61967113"/>
        <s v="72626801"/>
        <s v="56442199"/>
        <s v="78593800"/>
        <s v="37862886"/>
        <s v="3483404"/>
        <s v="85462038"/>
        <s v="94374001"/>
        <s v="66802150"/>
        <s v="63468595"/>
        <s v="21530661"/>
        <s v="45383991"/>
        <s v="90733420"/>
        <s v="27301364"/>
        <s v="66029441"/>
        <s v="9347618"/>
        <s v="95175393"/>
        <s v="90157349"/>
        <s v="41019634"/>
        <s v="73786870"/>
        <s v="22087164"/>
        <s v="52199578"/>
        <s v="93760249"/>
        <s v="48469074"/>
        <s v="17478571"/>
        <s v="91436757"/>
        <s v="72751497"/>
        <s v="39284129"/>
        <s v="8987877"/>
        <s v="42065463"/>
        <s v="36108"/>
        <s v="67931408"/>
        <s v="27901045"/>
        <s v="27233382"/>
        <s v="775212"/>
        <s v="9003644"/>
        <s v="7418211"/>
        <s v="55838993"/>
        <s v="38848322"/>
        <s v="25114669"/>
        <s v="84821560"/>
        <s v="12068098"/>
        <s v="49530001"/>
        <s v="3511442"/>
        <s v="70163445"/>
        <s v="99128159"/>
        <s v="54501645"/>
        <s v="54027534"/>
        <s v="31658126"/>
        <s v="29381487"/>
        <s v="60537997"/>
        <s v="37817350"/>
        <s v="95599069"/>
        <s v="15665324"/>
        <s v="56684339"/>
        <s v="16323056"/>
        <s v="61198906"/>
        <s v="52257650"/>
        <s v="44562724"/>
        <s v="72685518"/>
        <s v="2553146"/>
        <s v="59017899"/>
        <s v="30771314"/>
        <s v="33935508"/>
        <s v="44059057"/>
        <s v="26168272"/>
        <s v="78505018"/>
        <s v="77038012"/>
        <s v="61627994"/>
        <s v="49608090"/>
        <s v="32927276"/>
        <s v="30808775"/>
        <s v="64759982"/>
        <s v="12907779"/>
        <s v="46300560"/>
        <s v="73990833"/>
        <s v="95324883"/>
        <s v="26914633"/>
        <s v="19562681"/>
        <s v="71465562"/>
        <s v="56403756"/>
        <s v="31506632"/>
        <s v="96365106"/>
        <s v="34134139"/>
        <s v="23965423"/>
        <s v="38702792"/>
        <s v="10474389"/>
        <s v="82542252"/>
        <s v="64577623"/>
        <s v="97346678"/>
        <s v="5750573"/>
        <s v="57118444"/>
        <s v="96571576"/>
        <s v="68068509"/>
        <s v="50978960"/>
        <s v="30488397"/>
        <s v="83186189"/>
        <s v="4550723"/>
        <s v="89099964"/>
        <s v="47498341"/>
        <s v="23373341"/>
        <s v="53952165"/>
        <s v="33993621"/>
        <s v="74911431"/>
        <s v="517447"/>
        <s v="76438585"/>
        <s v="91565181"/>
        <s v="29799688"/>
        <s v="54822122"/>
        <s v="14038563"/>
        <s v="85189706"/>
        <s v="38606694"/>
        <s v="88311562"/>
        <s v="84377296"/>
        <s v="94887518"/>
        <s v="5572847"/>
        <s v="1727487"/>
        <s v="22913821"/>
        <s v="70185560"/>
        <s v="53167996"/>
        <s v="81999743"/>
        <s v="5871841"/>
        <s v="19509242"/>
        <s v="25736588"/>
        <s v="5597376"/>
        <s v="69956676"/>
        <s v="32703078"/>
        <s v="2128313"/>
        <s v="16380264"/>
        <s v="21658372"/>
        <s v="1138115"/>
        <s v="81910243"/>
        <s v="79824491"/>
        <s v="99354275"/>
        <s v="25332964"/>
        <s v="76092909"/>
        <s v="41060230"/>
        <s v="41309766"/>
        <s v="67341573"/>
        <s v="65900192"/>
        <s v="97737803"/>
        <s v="43035847"/>
        <s v="6533359"/>
        <s v="9101357"/>
        <s v="91864321"/>
        <s v="77739186"/>
        <s v="82159214"/>
        <s v="46432131"/>
        <s v="34401286"/>
        <s v="74211395"/>
        <s v="83327377"/>
        <s v="97156826"/>
        <s v="6992927"/>
        <s v="65883358"/>
        <s v="39706973"/>
        <s v="8535207"/>
        <s v="57189642"/>
        <s v="98230716"/>
        <s v="37494407"/>
        <s v="95410906"/>
        <s v="70210446"/>
        <s v="11139904"/>
        <s v="55997089"/>
        <s v="97649038"/>
        <s v="55526364"/>
        <s v="498340"/>
        <s v="29064304"/>
        <s v="9279230"/>
        <s v="95468181"/>
        <s v="73440598"/>
        <s v="49434583"/>
        <s v="44671167"/>
        <s v="32345872"/>
        <s v="79638753"/>
        <s v="13974916"/>
        <s v="138659"/>
        <s v="81174775"/>
        <s v="4887591"/>
        <s v="72830796"/>
        <s v="33930411"/>
        <s v="65652961"/>
        <s v="72623053"/>
        <s v="77154927"/>
        <s v="40384436"/>
        <s v="17187527"/>
        <s v="48103350"/>
        <s v="82553432"/>
        <s v="80644644"/>
        <s v="10092385"/>
        <s v="8299420"/>
        <s v="29707942"/>
        <s v="83513329"/>
        <s v="24874748"/>
        <s v="35327721"/>
        <s v="83664359"/>
        <s v="47266766"/>
        <s v="39049803"/>
        <s v="79069922"/>
        <s v="942102"/>
        <s v="45046162"/>
        <s v="65332979"/>
        <s v="65782910"/>
        <s v="47912489"/>
        <s v="38569517"/>
        <s v="57012247"/>
        <s v="42325581"/>
        <s v="33908380"/>
        <s v="75267735"/>
        <s v="78643185"/>
        <s v="76945113"/>
        <s v="23782075"/>
        <s v="28720324"/>
        <s v="39055743"/>
        <s v="59551461"/>
        <s v="17959568"/>
        <s v="11028956"/>
        <s v="30181465"/>
        <s v="64570341"/>
        <s v="56501100"/>
        <s v="59204947"/>
        <s v="93858335"/>
        <s v="29762149"/>
        <s v="65546536"/>
        <s v="6251239"/>
        <s v="82749071"/>
        <s v="78286191"/>
        <s v="93768580"/>
        <s v="30049628"/>
        <s v="33969824"/>
        <s v="20319038"/>
        <s v="91103321"/>
        <s v="35686156"/>
        <s v="91561855"/>
        <s v="1044027"/>
        <s v="15542762"/>
        <s v="33116273"/>
        <s v="98788200"/>
        <s v="10723593"/>
        <s v="1884241"/>
        <s v="56160482"/>
        <s v="46957405"/>
      </sharedItems>
    </cacheField>
    <cacheField name="category" numFmtId="49">
      <sharedItems>
        <s v="Books"/>
        <s v="Toys"/>
        <s v="Home"/>
        <s v="Clothing"/>
        <s v="Electronics"/>
      </sharedItems>
    </cacheField>
    <cacheField name="price" numFmtId="4">
      <sharedItems containsSemiMixedTypes="0" containsString="0" containsNumber="1" containsInteger="1">
        <n v="1498.0"/>
        <n v="6723.0"/>
        <n v="6570.0"/>
        <n v="6625.0"/>
        <n v="1570.0"/>
        <n v="8470.0"/>
        <n v="3109.0"/>
        <n v="8380.0"/>
        <n v="2665.0"/>
        <n v="7777.0"/>
        <n v="1049.0"/>
        <n v="4801.0"/>
        <n v="3726.0"/>
        <n v="7659.0"/>
        <n v="9819.0"/>
        <n v="2537.0"/>
        <n v="759.0"/>
        <n v="7686.0"/>
        <n v="6111.0"/>
        <n v="1184.0"/>
        <n v="3818.0"/>
        <n v="3287.0"/>
        <n v="7639.0"/>
        <n v="6848.0"/>
        <n v="3445.0"/>
        <n v="8324.0"/>
        <n v="9467.0"/>
        <n v="4105.0"/>
        <n v="9439.0"/>
        <n v="6686.0"/>
        <n v="9042.0"/>
        <n v="6309.0"/>
        <n v="423.0"/>
        <n v="9856.0"/>
        <n v="8745.0"/>
        <n v="5504.0"/>
        <n v="4734.0"/>
        <n v="4995.0"/>
        <n v="1748.0"/>
        <n v="8542.0"/>
        <n v="2568.0"/>
        <n v="2899.0"/>
        <n v="5029.0"/>
        <n v="3487.0"/>
        <n v="8312.0"/>
        <n v="8345.0"/>
        <n v="5180.0"/>
        <n v="2237.0"/>
        <n v="4016.0"/>
        <n v="7737.0"/>
        <n v="7803.0"/>
        <n v="7771.0"/>
        <n v="5378.0"/>
        <n v="3604.0"/>
        <n v="6017.0"/>
        <n v="2607.0"/>
        <n v="2340.0"/>
        <n v="9395.0"/>
        <n v="9883.0"/>
        <n v="8924.0"/>
        <n v="9370.0"/>
        <n v="8551.0"/>
        <n v="9022.0"/>
        <n v="7159.0"/>
        <n v="8148.0"/>
        <n v="7926.0"/>
        <n v="1104.0"/>
        <n v="3872.0"/>
        <n v="4909.0"/>
        <n v="3706.0"/>
        <n v="8398.0"/>
        <n v="9420.0"/>
        <n v="6912.0"/>
        <n v="2289.0"/>
        <n v="5202.0"/>
        <n v="4302.0"/>
        <n v="1745.0"/>
        <n v="8507.0"/>
        <n v="2505.0"/>
        <n v="4592.0"/>
        <n v="7804.0"/>
        <n v="3640.0"/>
        <n v="6620.0"/>
        <n v="2347.0"/>
        <n v="5933.0"/>
        <n v="4551.0"/>
        <n v="296.0"/>
        <n v="7465.0"/>
        <n v="4268.0"/>
        <n v="1725.0"/>
        <n v="2716.0"/>
        <n v="4343.0"/>
        <n v="6463.0"/>
        <n v="1303.0"/>
        <n v="7695.0"/>
        <n v="8641.0"/>
        <n v="8587.0"/>
        <n v="4538.0"/>
        <n v="6450.0"/>
        <n v="6838.0"/>
        <n v="9271.0"/>
        <n v="8333.0"/>
        <n v="376.0"/>
        <n v="2921.0"/>
        <n v="3250.0"/>
        <n v="5768.0"/>
        <n v="6009.0"/>
        <n v="4417.0"/>
        <n v="597.0"/>
        <n v="9068.0"/>
        <n v="5752.0"/>
        <n v="5107.0"/>
        <n v="6314.0"/>
        <n v="3432.0"/>
        <n v="8826.0"/>
        <n v="5317.0"/>
        <n v="2308.0"/>
        <n v="1505.0"/>
        <n v="8233.0"/>
        <n v="824.0"/>
        <n v="9873.0"/>
        <n v="8064.0"/>
        <n v="3754.0"/>
        <n v="3674.0"/>
        <n v="9128.0"/>
        <n v="5959.0"/>
        <n v="6350.0"/>
        <n v="9448.0"/>
        <n v="7310.0"/>
        <n v="1001.0"/>
        <n v="3388.0"/>
        <n v="7762.0"/>
        <n v="4961.0"/>
        <n v="1662.0"/>
        <n v="9822.0"/>
        <n v="4399.0"/>
        <n v="1690.0"/>
        <n v="3217.0"/>
        <n v="5240.0"/>
        <n v="8890.0"/>
        <n v="1246.0"/>
        <n v="3215.0"/>
        <n v="4097.0"/>
        <n v="1150.0"/>
        <n v="8624.0"/>
        <n v="3020.0"/>
        <n v="9074.0"/>
        <n v="5144.0"/>
        <n v="3322.0"/>
        <n v="6738.0"/>
        <n v="1139.0"/>
        <n v="3896.0"/>
        <n v="254.0"/>
        <n v="6715.0"/>
        <n v="3144.0"/>
        <n v="9047.0"/>
        <n v="765.0"/>
        <n v="1923.0"/>
        <n v="1616.0"/>
        <n v="7748.0"/>
        <n v="6037.0"/>
        <n v="4975.0"/>
        <n v="2357.0"/>
        <n v="322.0"/>
        <n v="1172.0"/>
        <n v="1921.0"/>
        <n v="2075.0"/>
        <n v="8959.0"/>
        <n v="6046.0"/>
        <n v="5482.0"/>
        <n v="6669.0"/>
        <n v="4552.0"/>
        <n v="1007.0"/>
        <n v="5963.0"/>
        <n v="5525.0"/>
        <n v="7815.0"/>
        <n v="5205.0"/>
        <n v="8503.0"/>
        <n v="7166.0"/>
        <n v="7201.0"/>
        <n v="6760.0"/>
        <n v="9487.0"/>
        <n v="6137.0"/>
        <n v="1142.0"/>
        <n v="8087.0"/>
        <n v="1934.0"/>
        <n v="7187.0"/>
        <n v="4964.0"/>
        <n v="1379.0"/>
        <n v="245.0"/>
        <n v="3331.0"/>
        <n v="1363.0"/>
        <n v="5463.0"/>
        <n v="5925.0"/>
        <n v="3359.0"/>
        <n v="9131.0"/>
        <n v="8801.0"/>
        <n v="9187.0"/>
        <n v="8928.0"/>
        <n v="4078.0"/>
        <n v="8418.0"/>
        <n v="2402.0"/>
        <n v="5862.0"/>
        <n v="8123.0"/>
        <n v="5807.0"/>
        <n v="3279.0"/>
        <n v="9742.0"/>
        <n v="1650.0"/>
        <n v="2404.0"/>
        <n v="8865.0"/>
        <n v="8167.0"/>
        <n v="7827.0"/>
        <n v="3663.0"/>
        <n v="4177.0"/>
        <n v="6389.0"/>
        <n v="6821.0"/>
        <n v="6997.0"/>
        <n v="1811.0"/>
        <n v="7857.0"/>
        <n v="5345.0"/>
        <n v="9484.0"/>
        <n v="8104.0"/>
        <n v="6127.0"/>
        <n v="739.0"/>
        <n v="4401.0"/>
        <n v="9986.0"/>
        <n v="4560.0"/>
        <n v="4541.0"/>
        <n v="2456.0"/>
        <n v="9916.0"/>
        <n v="9220.0"/>
        <n v="6628.0"/>
        <n v="8591.0"/>
        <n v="9579.0"/>
        <n v="4835.0"/>
        <n v="980.0"/>
        <n v="6947.0"/>
        <n v="2460.0"/>
        <n v="1795.0"/>
        <n v="8951.0"/>
        <n v="300.0"/>
        <n v="9090.0"/>
        <n v="4023.0"/>
        <n v="1133.0"/>
        <n v="8530.0"/>
        <n v="9826.0"/>
        <n v="835.0"/>
        <n v="8932.0"/>
        <n v="9015.0"/>
        <n v="1389.0"/>
        <n v="1676.0"/>
        <n v="298.0"/>
        <n v="9701.0"/>
        <n v="4156.0"/>
        <n v="8998.0"/>
        <n v="3528.0"/>
        <n v="8269.0"/>
        <n v="6842.0"/>
        <n v="4330.0"/>
        <n v="9838.0"/>
        <n v="6069.0"/>
        <n v="9662.0"/>
        <n v="4907.0"/>
        <n v="1244.0"/>
        <n v="1761.0"/>
        <n v="8562.0"/>
        <n v="6922.0"/>
        <n v="6585.0"/>
        <n v="3180.0"/>
        <n v="4102.0"/>
        <n v="2033.0"/>
        <n v="710.0"/>
        <n v="7253.0"/>
        <n v="4730.0"/>
        <n v="5384.0"/>
        <n v="135.0"/>
        <n v="6096.0"/>
        <n v="7467.0"/>
        <n v="1394.0"/>
        <n v="5769.0"/>
        <n v="9317.0"/>
        <n v="5020.0"/>
        <n v="1384.0"/>
        <n v="6663.0"/>
        <n v="6183.0"/>
        <n v="2510.0"/>
        <n v="5294.0"/>
        <n v="4369.0"/>
        <n v="8192.0"/>
        <n v="5796.0"/>
        <n v="5366.0"/>
        <n v="167.0"/>
        <n v="6923.0"/>
        <n v="1470.0"/>
        <n v="4806.0"/>
        <n v="3623.0"/>
        <n v="5899.0"/>
        <n v="6957.0"/>
        <n v="554.0"/>
        <n v="5522.0"/>
        <n v="4845.0"/>
        <n v="2150.0"/>
        <n v="6220.0"/>
        <n v="4682.0"/>
        <n v="5975.0"/>
        <n v="7809.0"/>
        <n v="5095.0"/>
        <n v="4076.0"/>
        <n v="4895.0"/>
        <n v="3553.0"/>
        <n v="3727.0"/>
        <n v="9198.0"/>
        <n v="7098.0"/>
        <n v="533.0"/>
        <n v="8109.0"/>
        <n v="6589.0"/>
        <n v="9526.0"/>
        <n v="2171.0"/>
        <n v="1079.0"/>
        <n v="8671.0"/>
        <n v="214.0"/>
        <n v="1992.0"/>
        <n v="2101.0"/>
        <n v="9126.0"/>
        <n v="2202.0"/>
        <n v="1019.0"/>
        <n v="9802.0"/>
        <n v="9157.0"/>
        <n v="973.0"/>
        <n v="9166.0"/>
        <n v="1027.0"/>
        <n v="4080.0"/>
        <n v="7727.0"/>
        <n v="6801.0"/>
        <n v="3305.0"/>
        <n v="8096.0"/>
        <n v="3693.0"/>
        <n v="2884.0"/>
        <n v="4890.0"/>
        <n v="3779.0"/>
        <n v="8248.0"/>
        <n v="6164.0"/>
        <n v="406.0"/>
        <n v="2170.0"/>
        <n v="8513.0"/>
        <n v="2490.0"/>
        <n v="7027.0"/>
        <n v="9586.0"/>
        <n v="6725.0"/>
        <n v="6748.0"/>
        <n v="4639.0"/>
        <n v="7976.0"/>
        <n v="7599.0"/>
        <n v="7780.0"/>
        <n v="9155.0"/>
        <n v="2179.0"/>
        <n v="6937.0"/>
        <n v="5707.0"/>
        <n v="3731.0"/>
        <n v="9216.0"/>
        <n v="334.0"/>
        <n v="9224.0"/>
        <n v="721.0"/>
        <n v="7652.0"/>
        <n v="2157.0"/>
        <n v="2017.0"/>
        <n v="3362.0"/>
        <n v="2725.0"/>
        <n v="7868.0"/>
        <n v="316.0"/>
        <n v="1173.0"/>
        <n v="9590.0"/>
        <n v="1073.0"/>
        <n v="8693.0"/>
        <n v="8134.0"/>
        <n v="3436.0"/>
        <n v="5258.0"/>
        <n v="8439.0"/>
        <n v="3946.0"/>
        <n v="3412.0"/>
        <n v="1509.0"/>
        <n v="8976.0"/>
        <n v="4315.0"/>
        <n v="579.0"/>
        <n v="6333.0"/>
        <n v="4528.0"/>
        <n v="2209.0"/>
        <n v="3845.0"/>
        <n v="803.0"/>
        <n v="2767.0"/>
        <n v="7549.0"/>
        <n v="6080.0"/>
        <n v="7793.0"/>
        <n v="665.0"/>
        <n v="4084.0"/>
        <n v="8941.0"/>
        <n v="248.0"/>
        <n v="1756.0"/>
        <n v="9548.0"/>
        <n v="590.0"/>
        <n v="1093.0"/>
        <n v="2586.0"/>
        <n v="829.0"/>
        <n v="1655.0"/>
        <n v="3268.0"/>
        <n v="2068.0"/>
        <n v="9885.0"/>
        <n v="8806.0"/>
        <n v="827.0"/>
        <n v="7434.0"/>
        <n v="5931.0"/>
        <n v="9750.0"/>
        <n v="9669.0"/>
        <n v="7513.0"/>
        <n v="2983.0"/>
        <n v="9655.0"/>
        <n v="768.0"/>
        <n v="7277.0"/>
        <n v="959.0"/>
        <n v="4170.0"/>
        <n v="5370.0"/>
        <n v="7048.0"/>
        <n v="8422.0"/>
        <n v="700.0"/>
        <n v="5469.0"/>
        <n v="692.0"/>
        <n v="902.0"/>
        <n v="4878.0"/>
        <n v="991.0"/>
        <n v="1441.0"/>
        <n v="9426.0"/>
        <n v="9183.0"/>
        <n v="3568.0"/>
        <n v="9508.0"/>
        <n v="9690.0"/>
        <n v="277.0"/>
        <n v="3307.0"/>
        <n v="497.0"/>
        <n v="7192.0"/>
        <n v="8787.0"/>
        <n v="5031.0"/>
        <n v="3630.0"/>
        <n v="2525.0"/>
        <n v="3110.0"/>
        <n v="4427.0"/>
        <n v="5813.0"/>
        <n v="9563.0"/>
        <n v="4178.0"/>
        <n v="2926.0"/>
        <n v="5362.0"/>
        <n v="3435.0"/>
        <n v="9030.0"/>
        <n v="3785.0"/>
        <n v="4488.0"/>
        <n v="6352.0"/>
        <n v="491.0"/>
        <n v="2912.0"/>
        <n v="7132.0"/>
        <n v="6963.0"/>
        <n v="694.0"/>
        <n v="9956.0"/>
        <n v="3739.0"/>
        <n v="7238.0"/>
        <n v="1868.0"/>
        <n v="9406.0"/>
        <n v="328.0"/>
        <n v="8723.0"/>
        <n v="4526.0"/>
        <n v="1336.0"/>
        <n v="674.0"/>
        <n v="7920.0"/>
        <n v="7985.0"/>
        <n v="830.0"/>
        <n v="7273.0"/>
        <n v="2445.0"/>
        <n v="4903.0"/>
        <n v="1059.0"/>
        <n v="9085.0"/>
        <n v="5724.0"/>
        <n v="8670.0"/>
        <n v="163.0"/>
        <n v="6770.0"/>
        <n v="678.0"/>
        <n v="6013.0"/>
        <n v="6976.0"/>
        <n v="4049.0"/>
        <n v="6142.0"/>
        <n v="9509.0"/>
        <n v="9381.0"/>
        <n v="6828.0"/>
        <n v="3561.0"/>
        <n v="6456.0"/>
        <n v="5645.0"/>
        <n v="5155.0"/>
        <n v="9638.0"/>
        <n v="6042.0"/>
        <n v="5491.0"/>
        <n v="7856.0"/>
        <n v="2210.0"/>
        <n v="4123.0"/>
        <n v="8078.0"/>
        <n v="9852.0"/>
        <n v="1510.0"/>
        <n v="6225.0"/>
        <n v="1736.0"/>
        <n v="4489.0"/>
        <n v="7200.0"/>
        <n v="1084.0"/>
        <n v="3666.0"/>
        <n v="2055.0"/>
        <n v="1231.0"/>
        <n v="8156.0"/>
        <n v="259.0"/>
        <n v="2459.0"/>
        <n v="2376.0"/>
        <n v="552.0"/>
        <n v="8869.0"/>
        <n v="466.0"/>
        <n v="5539.0"/>
        <n v="1128.0"/>
        <n v="5918.0"/>
        <n v="6430.0"/>
        <n v="187.0"/>
        <n v="5676.0"/>
        <n v="2789.0"/>
        <n v="1696.0"/>
        <n v="5132.0"/>
        <n v="7994.0"/>
        <n v="3230.0"/>
        <n v="3503.0"/>
        <n v="2673.0"/>
        <n v="2018.0"/>
        <n v="345.0"/>
        <n v="4368.0"/>
        <n v="8036.0"/>
        <n v="7272.0"/>
        <n v="5993.0"/>
        <n v="183.0"/>
        <n v="564.0"/>
        <n v="3200.0"/>
        <n v="4485.0"/>
        <n v="2126.0"/>
        <n v="1012.0"/>
        <n v="1032.0"/>
        <n v="8098.0"/>
        <n v="8133.0"/>
        <n v="9269.0"/>
        <n v="1924.0"/>
        <n v="1567.0"/>
        <n v="7112.0"/>
        <n v="1300.0"/>
        <n v="3325.0"/>
        <n v="6342.0"/>
        <n v="3384.0"/>
        <n v="4991.0"/>
        <n v="606.0"/>
        <n v="7845.0"/>
        <n v="4279.0"/>
        <n v="7670.0"/>
        <n v="6694.0"/>
        <n v="4645.0"/>
        <n v="5542.0"/>
        <n v="5710.0"/>
        <n v="4273.0"/>
        <n v="4671.0"/>
        <n v="5451.0"/>
        <n v="8721.0"/>
        <n v="885.0"/>
        <n v="2093.0"/>
        <n v="4361.0"/>
        <n v="2233.0"/>
        <n v="681.0"/>
        <n v="9567.0"/>
        <n v="6300.0"/>
        <n v="4299.0"/>
        <n v="2118.0"/>
        <n v="8030.0"/>
        <n v="7234.0"/>
      </sharedItems>
    </cacheField>
    <cacheField name="quantity" numFmtId="1">
      <sharedItems containsSemiMixedTypes="0" containsString="0" containsNumber="1" containsInteger="1">
        <n v="4.0"/>
        <n v="3.0"/>
        <n v="1.0"/>
        <n v="2.0"/>
      </sharedItems>
    </cacheField>
    <cacheField name="discount" numFmtId="9">
      <sharedItems containsSemiMixedTypes="0" containsString="0" containsNumber="1">
        <n v="0.16"/>
        <n v="0.07"/>
        <n v="0.08"/>
        <n v="0.11"/>
        <n v="0.09"/>
        <n v="0.12"/>
        <n v="0.06"/>
        <n v="0.14"/>
        <n v="0.18"/>
        <n v="0.1"/>
        <n v="0.05"/>
        <n v="0.15"/>
        <n v="0.17"/>
        <n v="0.13"/>
        <n v="0.2"/>
        <n v="0.19"/>
      </sharedItems>
    </cacheField>
    <cacheField name="payment_method" numFmtId="49">
      <sharedItems>
        <s v="Credit Card"/>
        <s v="COD"/>
        <s v="PayPal"/>
        <s v="Bank Transfer"/>
      </sharedItems>
    </cacheField>
    <cacheField name="delivery_status" numFmtId="49">
      <sharedItems>
        <s v="Cancelled"/>
        <s v="Delivered"/>
        <s v="Pending"/>
        <s v="Returned"/>
      </sharedItems>
    </cacheField>
    <cacheField name="country" numFmtId="49">
      <sharedItems>
        <s v="Germany"/>
        <s v="UK"/>
        <s v="USA"/>
        <s v="India"/>
        <s v="France"/>
      </sharedItems>
    </cacheField>
    <cacheField name="device" numFmtId="49">
      <sharedItems>
        <s v="Mobile"/>
        <s v="Tablet"/>
        <s v="Desktop"/>
      </sharedItems>
    </cacheField>
    <cacheField name="total" numFmtId="4">
      <sharedItems containsSemiMixedTypes="0" containsString="0" containsNumber="1">
        <n v="5033.28"/>
        <n v="18757.17"/>
        <n v="6110.1"/>
        <n v="18285.0"/>
        <n v="2794.6"/>
        <n v="15415.4"/>
        <n v="5471.84"/>
        <n v="14078.4"/>
        <n v="7515.3"/>
        <n v="7154.84"/>
        <n v="1972.12"/>
        <n v="12386.58"/>
        <n v="13562.64"/>
        <n v="12560.76"/>
        <n v="34955.64"/>
        <n v="4566.6"/>
        <n v="1381.38"/>
        <n v="21443.94"/>
        <n v="5683.23"/>
        <n v="3338.88"/>
        <n v="10652.22"/>
        <n v="12096.16"/>
        <n v="20625.3"/>
        <n v="19105.92"/>
        <n v="9818.25"/>
        <n v="7408.36"/>
        <n v="35595.92"/>
        <n v="6978.5"/>
        <n v="16612.64"/>
        <n v="23534.72"/>
        <n v="33274.56"/>
        <n v="17791.38"/>
        <n v="1505.88"/>
        <n v="26315.52"/>
        <n v="24136.2"/>
        <n v="10237.44"/>
        <n v="17610.48"/>
        <n v="8191.8"/>
        <n v="6222.88"/>
        <n v="15888.12"/>
        <n v="7010.64"/>
        <n v="7479.42"/>
        <n v="9052.2"/>
        <n v="9937.95"/>
        <n v="7896.4"/>
        <n v="13685.8"/>
        <n v="8598.8"/>
        <n v="8053.2"/>
        <n v="10240.8"/>
        <n v="6731.19"/>
        <n v="27466.56"/>
        <n v="13987.8"/>
        <n v="4947.76"/>
        <n v="3099.44"/>
        <n v="16426.41"/>
        <n v="4327.62"/>
        <n v="8517.6"/>
        <n v="7687.8"/>
        <n v="15971.5"/>
        <n v="28166.55"/>
        <n v="16063.2"/>
        <n v="23893.5"/>
        <n v="15049.76"/>
        <n v="31035.68"/>
        <n v="13172.56"/>
        <n v="29658.72"/>
        <n v="19735.74"/>
        <n v="971.52"/>
        <n v="3407.36"/>
        <n v="18457.84"/>
        <n v="6819.04"/>
        <n v="14612.52"/>
        <n v="17709.6"/>
        <n v="5529.6"/>
        <n v="6111.63"/>
        <n v="12796.92"/>
        <n v="10711.98"/>
        <n v="1448.35"/>
        <n v="22713.69"/>
        <n v="8116.2"/>
        <n v="15429.12"/>
        <n v="6477.32"/>
        <n v="6916.0"/>
        <n v="18867.0"/>
        <n v="6125.67"/>
        <n v="21121.48"/>
        <n v="3822.84"/>
        <n v="509.12"/>
        <n v="18811.8"/>
        <n v="3713.16"/>
        <n v="1604.25"/>
        <n v="7251.72"/>
        <n v="7730.54"/>
        <n v="16868.43"/>
        <n v="1185.73"/>
        <n v="28317.6"/>
        <n v="32835.8"/>
        <n v="7728.3"/>
        <n v="4129.58"/>
        <n v="10320.0"/>
        <n v="5470.4"/>
        <n v="17244.06"/>
        <n v="7583.03"/>
        <n v="706.88"/>
        <n v="7098.03"/>
        <n v="11180.0"/>
        <n v="10613.12"/>
        <n v="19949.88"/>
        <n v="10998.33"/>
        <n v="1134.3"/>
        <n v="23939.52"/>
        <n v="10928.8"/>
        <n v="17159.52"/>
        <n v="16290.12"/>
        <n v="2848.56"/>
        <n v="25154.1"/>
        <n v="8719.88"/>
        <n v="7385.6"/>
        <n v="1219.05"/>
        <n v="7245.04"/>
        <n v="2200.08"/>
        <n v="23695.2"/>
        <n v="7499.52"/>
        <n v="9234.84"/>
        <n v="12344.64"/>
        <n v="7667.52"/>
        <n v="4945.97"/>
        <n v="17907.0"/>
        <n v="26076.48"/>
        <n v="13158.0"/>
        <n v="2582.58"/>
        <n v="3150.84"/>
        <n v="6752.94"/>
        <n v="8235.26"/>
        <n v="2758.92"/>
        <n v="8446.92"/>
        <n v="7918.2"/>
        <n v="1385.8"/>
        <n v="7720.8"/>
        <n v="4716.0"/>
        <n v="15290.8"/>
        <n v="3551.1"/>
        <n v="3054.25"/>
        <n v="3564.39"/>
        <n v="1932.0"/>
        <n v="14315.84"/>
        <n v="11355.2"/>
        <n v="8075.86"/>
        <n v="12654.24"/>
        <n v="5780.28"/>
        <n v="18192.6"/>
        <n v="3690.36"/>
        <n v="7168.64"/>
        <n v="609.6"/>
        <n v="5506.3"/>
        <n v="8771.76"/>
        <n v="7870.89"/>
        <n v="2042.55"/>
        <n v="1826.85"/>
        <n v="1405.92"/>
        <n v="20919.6"/>
        <n v="10866.6"/>
        <n v="4527.25"/>
        <n v="7730.96"/>
        <n v="859.74"/>
        <n v="3937.92"/>
        <n v="1632.85"/>
        <n v="1909.0"/>
        <n v="25264.38"/>
        <n v="21523.76"/>
        <n v="4550.06"/>
        <n v="23474.88"/>
        <n v="7283.2"/>
        <n v="2688.69"/>
        <n v="5068.55"/>
        <n v="14917.5"/>
        <n v="28446.6"/>
        <n v="13741.2"/>
        <n v="29930.56"/>
        <n v="25224.32"/>
        <n v="11665.62"/>
        <n v="18252.0"/>
        <n v="31876.32"/>
        <n v="17490.45"/>
        <n v="3014.88"/>
        <n v="19894.02"/>
        <n v="5047.74"/>
        <n v="1613.64"/>
        <n v="22998.4"/>
        <n v="12360.36"/>
        <n v="1130.78"/>
        <n v="198.45"/>
        <n v="5662.7"/>
        <n v="2180.8"/>
        <n v="14258.43"/>
        <n v="10783.5"/>
        <n v="2855.15"/>
        <n v="31775.88"/>
        <n v="24290.76"/>
        <n v="17271.56"/>
        <n v="29283.84"/>
        <n v="3792.54"/>
        <n v="13468.8"/>
        <n v="6773.64"/>
        <n v="10317.12"/>
        <n v="20957.34"/>
        <n v="14111.01"/>
        <n v="5967.78"/>
        <n v="26011.14"/>
        <n v="4306.5"/>
        <n v="10562.1"/>
        <n v="7981.28"/>
        <n v="21276.0"/>
        <n v="13067.2"/>
        <n v="19958.85"/>
        <n v="9999.99"/>
        <n v="10776.66"/>
        <n v="23255.96"/>
        <n v="19030.59"/>
        <n v="6647.15"/>
        <n v="3114.92"/>
        <n v="14299.74"/>
        <n v="19883.4"/>
        <n v="7871.72"/>
        <n v="14911.36"/>
        <n v="4901.6"/>
        <n v="1226.74"/>
        <n v="14259.24"/>
        <n v="17175.92"/>
        <n v="16051.2"/>
        <n v="16892.52"/>
        <n v="6557.52"/>
        <n v="8626.92"/>
        <n v="30610.4"/>
        <n v="5501.24"/>
        <n v="13745.6"/>
        <n v="8525.31"/>
        <n v="12039.15"/>
        <n v="1744.4"/>
        <n v="11948.84"/>
        <n v="6346.8"/>
        <n v="1705.25"/>
        <n v="7339.82"/>
        <n v="552.0"/>
        <n v="14544.0"/>
        <n v="9896.58"/>
        <n v="1053.69"/>
        <n v="7079.9"/>
        <n v="8057.32"/>
        <n v="2154.3"/>
        <n v="24116.4"/>
        <n v="16002.0"/>
        <n v="29569.2"/>
        <n v="5222.64"/>
        <n v="2882.72"/>
        <n v="524.48"/>
        <n v="36087.72"/>
        <n v="7730.16"/>
        <n v="32032.88"/>
        <n v="3351.6"/>
        <n v="7772.86"/>
        <n v="984.48"/>
        <n v="6363.06"/>
        <n v="10781.7"/>
        <n v="27743.16"/>
        <n v="5644.17"/>
        <n v="16811.88"/>
        <n v="4661.65"/>
        <n v="2363.6"/>
        <n v="4437.72"/>
        <n v="28425.84"/>
        <n v="18689.4"/>
        <n v="21072.0"/>
        <n v="5469.6"/>
        <n v="3773.84"/>
        <n v="6993.52"/>
        <n v="2612.8"/>
        <n v="6527.7"/>
        <n v="7662.6"/>
        <n v="4791.76"/>
        <n v="113.4"/>
        <n v="17373.6"/>
        <n v="13589.94"/>
        <n v="5129.92"/>
        <n v="5480.55"/>
        <n v="23199.33"/>
        <n v="18674.4"/>
        <n v="1162.56"/>
        <n v="5397.03"/>
        <n v="11376.72"/>
        <n v="2259.0"/>
        <n v="18634.88"/>
        <n v="16602.2"/>
        <n v="20152.32"/>
        <n v="5274.36"/>
        <n v="18244.4"/>
        <n v="307.28"/>
        <n v="25476.64"/>
        <n v="1264.2"/>
        <n v="3940.92"/>
        <n v="5796.8"/>
        <n v="4837.18"/>
        <n v="6261.3"/>
        <n v="963.96"/>
        <n v="19216.56"/>
        <n v="4457.4"/>
        <n v="5160.0"/>
        <n v="5411.4"/>
        <n v="4166.98"/>
        <n v="10635.5"/>
        <n v="14524.74"/>
        <n v="8152.0"/>
        <n v="7581.36"/>
        <n v="3964.95"/>
        <n v="9593.1"/>
        <n v="12522.72"/>
        <n v="25662.42"/>
        <n v="19803.42"/>
        <n v="959.4"/>
        <n v="6730.47"/>
        <n v="5864.21"/>
        <n v="8859.18"/>
        <n v="7294.56"/>
        <n v="3042.78"/>
        <n v="29828.24"/>
        <n v="744.72"/>
        <n v="4900.32"/>
        <n v="7731.68"/>
        <n v="17156.88"/>
        <n v="6011.46"/>
        <n v="2812.44"/>
        <n v="27641.64"/>
        <n v="21976.8"/>
        <n v="885.43"/>
        <n v="32997.6"/>
        <n v="3327.48"/>
        <n v="15340.8"/>
        <n v="19008.42"/>
        <n v="22579.32"/>
        <n v="12162.4"/>
        <n v="22587.84"/>
        <n v="13294.8"/>
        <n v="7873.32"/>
        <n v="12909.6"/>
        <n v="9976.56"/>
        <n v="20537.52"/>
        <n v="5018.16"/>
        <n v="20217.92"/>
        <n v="1380.4"/>
        <n v="3949.4"/>
        <n v="30646.8"/>
        <n v="2166.3"/>
        <n v="12367.52"/>
        <n v="7764.66"/>
        <n v="10760.0"/>
        <n v="12011.44"/>
        <n v="7607.96"/>
        <n v="28075.52"/>
        <n v="26140.56"/>
        <n v="6924.2"/>
        <n v="8605.7"/>
        <n v="3965.78"/>
        <n v="13180.3"/>
        <n v="4622.67"/>
        <n v="3059.42"/>
        <n v="17326.08"/>
        <n v="581.16"/>
        <n v="16049.76"/>
        <n v="1312.22"/>
        <n v="6198.12"/>
        <n v="5565.06"/>
        <n v="1653.94"/>
        <n v="2723.22"/>
        <n v="7602.75"/>
        <n v="20299.44"/>
        <n v="1011.2"/>
        <n v="3847.44"/>
        <n v="9014.6"/>
        <n v="965.7"/>
        <n v="17212.62"/>
        <n v="23731.89"/>
        <n v="29933.12"/>
        <n v="11957.28"/>
        <n v="12776.94"/>
        <n v="7257.54"/>
        <n v="6313.6"/>
        <n v="8700.6"/>
        <n v="2625.66"/>
        <n v="15259.2"/>
        <n v="3710.9"/>
        <n v="463.2"/>
        <n v="12032.7"/>
        <n v="17025.28"/>
        <n v="1988.1"/>
        <n v="14149.6"/>
        <n v="2119.92"/>
        <n v="7138.86"/>
        <n v="12531.34"/>
        <n v="10822.4"/>
        <n v="21508.68"/>
        <n v="4860.36"/>
        <n v="1143.8"/>
        <n v="10659.24"/>
        <n v="7152.8"/>
        <n v="203.36"/>
        <n v="35023.28"/>
        <n v="6321.6"/>
        <n v="16995.44"/>
        <n v="7716.85"/>
        <n v="1026.6"/>
        <n v="4109.68"/>
        <n v="2379.12"/>
        <n v="688.07"/>
        <n v="6090.4"/>
        <n v="5620.96"/>
        <n v="6783.04"/>
        <n v="37167.6"/>
        <n v="22983.66"/>
        <n v="1455.52"/>
        <n v="13827.24"/>
        <n v="16725.42"/>
        <n v="8190.0"/>
        <n v="32874.6"/>
        <n v="25844.72"/>
        <n v="5309.74"/>
        <n v="16606.6"/>
        <n v="1320.96"/>
        <n v="6840.38"/>
        <n v="911.05"/>
        <n v="15679.2"/>
        <n v="14176.8"/>
        <n v="11981.6"/>
        <n v="21476.1"/>
        <n v="2464.0"/>
        <n v="20782.2"/>
        <n v="1785.36"/>
        <n v="1443.2"/>
        <n v="17560.8"/>
        <n v="3329.76"/>
        <n v="2449.7"/>
        <n v="33933.6"/>
        <n v="31222.2"/>
        <n v="10061.76"/>
        <n v="7701.48"/>
        <n v="35271.6"/>
        <n v="1052.6"/>
        <n v="8135.22"/>
        <n v="397.6"/>
        <n v="5753.6"/>
        <n v="21616.02"/>
        <n v="18916.56"/>
        <n v="6751.8"/>
        <n v="6969.0"/>
        <n v="7557.3"/>
        <n v="3851.49"/>
        <n v="14474.37"/>
        <n v="16448.36"/>
        <n v="10779.24"/>
        <n v="8163.54"/>
        <n v="4664.94"/>
        <n v="6389.1"/>
        <n v="14989.8"/>
        <n v="13626.0"/>
        <n v="4218.72"/>
        <n v="11687.68"/>
        <n v="854.34"/>
        <n v="7250.88"/>
        <n v="24534.08"/>
        <n v="6614.85"/>
        <n v="1276.96"/>
        <n v="35045.12"/>
        <n v="3552.05"/>
        <n v="18891.18"/>
        <n v="3325.04"/>
        <n v="34614.08"/>
        <n v="301.76"/>
        <n v="16573.7"/>
        <n v="3756.58"/>
        <n v="3567.12"/>
        <n v="1920.9"/>
        <n v="11437.4"/>
        <n v="26928.0"/>
        <n v="15011.8"/>
        <n v="2689.2"/>
        <n v="12655.02"/>
        <n v="2053.8"/>
        <n v="8335.1"/>
        <n v="2636.91"/>
        <n v="9063.0"/>
        <n v="33069.4"/>
        <n v="13737.6"/>
        <n v="14045.4"/>
        <n v="141.81"/>
        <n v="17669.7"/>
        <n v="1627.2"/>
        <n v="11184.18"/>
        <n v="12696.32"/>
        <n v="7369.18"/>
        <n v="11669.8"/>
        <n v="8177.74"/>
        <n v="17823.9"/>
        <n v="22395.84"/>
        <n v="3026.85"/>
        <n v="6068.64"/>
        <n v="29733.0"/>
        <n v="15410.85"/>
        <n v="19382.8"/>
        <n v="24287.76"/>
        <n v="10392.24"/>
        <n v="4461.6"/>
        <n v="18010.48"/>
        <n v="7227.52"/>
        <n v="7072.0"/>
        <n v="7668.78"/>
        <n v="14863.52"/>
        <n v="16945.44"/>
        <n v="4892.4"/>
        <n v="610.08"/>
        <n v="15687.0"/>
        <n v="3124.8"/>
        <n v="4129.88"/>
        <n v="11664.0"/>
        <n v="2634.12"/>
        <n v="13637.52"/>
        <n v="1890.6"/>
        <n v="4185.4"/>
        <n v="21531.84"/>
        <n v="849.52"/>
        <n v="6417.99"/>
        <n v="6486.48"/>
        <n v="1473.84"/>
        <n v="14190.4"/>
        <n v="1314.12"/>
        <n v="9748.64"/>
        <n v="2007.84"/>
        <n v="21541.52"/>
        <n v="23405.2"/>
        <n v="14359.26"/>
        <n v="613.36"/>
        <n v="4540.8"/>
        <n v="10151.96"/>
        <n v="4375.68"/>
        <n v="17243.52"/>
        <n v="29737.68"/>
        <n v="8817.9"/>
        <n v="9144.9"/>
        <n v="12190.44"/>
        <n v="4437.18"/>
        <n v="6780.48"/>
        <n v="614.1"/>
        <n v="15200.64"/>
        <n v="4128.96"/>
        <n v="13179.04"/>
        <n v="18325.44"/>
        <n v="22054.24"/>
        <n v="166.53"/>
        <n v="2075.52"/>
        <n v="2784.0"/>
        <n v="2745.6"/>
        <n v="4215.9"/>
        <n v="3911.84"/>
        <n v="3400.32"/>
        <n v="2507.76"/>
        <n v="15224.24"/>
        <n v="15452.7"/>
        <n v="22801.74"/>
        <n v="16023.04"/>
        <n v="5252.52"/>
        <n v="737.04"/>
        <n v="2883.28"/>
        <n v="5902.96"/>
        <n v="4472.0"/>
        <n v="5985.0"/>
        <n v="23845.92"/>
        <n v="5414.4"/>
        <n v="13176.24"/>
        <n v="1945.44"/>
        <n v="1139.28"/>
        <n v="26673.0"/>
        <n v="3765.52"/>
        <n v="6903.0"/>
        <n v="23830.64"/>
        <n v="15049.8"/>
        <n v="21059.6"/>
        <n v="19870.8"/>
        <n v="8033.24"/>
        <n v="11911.05"/>
        <n v="10356.9"/>
        <n v="8110.53"/>
        <n v="823.05"/>
        <n v="3558.1"/>
        <n v="3968.51"/>
        <n v="3796.1"/>
        <n v="619.71"/>
        <n v="25256.88"/>
        <n v="21168.0"/>
        <n v="3568.17"/>
        <n v="3727.68"/>
        <n v="29229.2"/>
        <n v="13310.56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EDA" cacheId="0" dataCaption="" compact="0" compactData="0">
  <location ref="A2:D15" firstHeaderRow="0" firstDataRow="2" firstDataCol="0"/>
  <pivotFields>
    <pivotField name="order_id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ser_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roduct_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ategory" compact="0" numFmtId="49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quantity" dataField="1" compact="0" numFmtId="1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method" compact="0" numFmtId="49" outline="0" multipleItemSelectionAllowed="1" showAll="0">
      <items>
        <item x="0"/>
        <item x="1"/>
        <item x="2"/>
        <item x="3"/>
        <item t="default"/>
      </items>
    </pivotField>
    <pivotField name="delivery_status" compact="0" numFmtId="49" outline="0" multipleItemSelectionAllowed="1" showAll="0">
      <items>
        <item x="0"/>
        <item x="1"/>
        <item x="2"/>
        <item x="3"/>
        <item t="default"/>
      </items>
    </pivotField>
    <pivotField name="country" compact="0" numFmtId="49" outline="0" multipleItemSelectionAllowed="1" showAll="0">
      <items>
        <item x="0"/>
        <item x="1"/>
        <item x="2"/>
        <item x="3"/>
        <item x="4"/>
        <item t="default"/>
      </items>
    </pivotField>
    <pivotField name="device" compact="0" numFmtId="49" outline="0" multipleItemSelectionAllowed="1" showAll="0">
      <items>
        <item x="0"/>
        <item x="1"/>
        <item x="2"/>
        <item t="default"/>
      </items>
    </pivotField>
    <pivotField name="total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</pivotFields>
  <rowFields>
    <field x="2"/>
  </rowFields>
  <colFields>
    <field x="-2"/>
  </colFields>
  <dataFields>
    <dataField name="COUNTA of order_id" fld="0" subtotal="count" baseField="0"/>
    <dataField name="SUM of quantity" fld="6" baseField="0"/>
    <dataField name="SUM of total" fld="12" baseField="0"/>
  </dataFields>
</pivotTableDefinition>
</file>

<file path=xl/pivotTables/pivotTable2.xml><?xml version="1.0" encoding="utf-8"?>
<pivotTableDefinition xmlns="http://schemas.openxmlformats.org/spreadsheetml/2006/main" name="EDA 2" cacheId="1" dataCaption="" compact="0" compactData="0">
  <location ref="A30:G37" firstHeaderRow="0" firstDataRow="1" firstDataCol="1"/>
  <pivotFields>
    <pivotField name="order_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ser_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product_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ategory" axis="axisCol" compact="0" numFmtId="49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quantity" dataField="1" compact="0" numFmtId="1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method" compact="0" numFmtId="49" outline="0" multipleItemSelectionAllowed="1" showAll="0">
      <items>
        <item x="0"/>
        <item x="1"/>
        <item x="2"/>
        <item x="3"/>
        <item t="default"/>
      </items>
    </pivotField>
    <pivotField name="delivery_status" compact="0" numFmtId="49" outline="0" multipleItemSelectionAllowed="1" showAll="0">
      <items>
        <item x="0"/>
        <item x="1"/>
        <item x="2"/>
        <item x="3"/>
        <item t="default"/>
      </items>
    </pivotField>
    <pivotField name="country" axis="axisRow" compact="0" numFmtId="49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evice" compact="0" numFmtId="49" outline="0" multipleItemSelectionAllowed="1" showAll="0">
      <items>
        <item x="0"/>
        <item x="1"/>
        <item x="2"/>
        <item t="default"/>
      </items>
    </pivotField>
    <pivotField name="total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</pivotFields>
  <rowFields>
    <field x="10"/>
  </rowFields>
  <colFields>
    <field x="4"/>
  </colFields>
  <dataFields>
    <dataField name="SUM of quantity" fld="6" baseField="0"/>
  </dataFields>
</pivotTableDefinition>
</file>

<file path=xl/pivotTables/pivotTable3.xml><?xml version="1.0" encoding="utf-8"?>
<pivotTableDefinition xmlns="http://schemas.openxmlformats.org/spreadsheetml/2006/main" name="EDA 3" cacheId="1" dataCaption="" compact="0" compactData="0">
  <location ref="A58:G64" firstHeaderRow="0" firstDataRow="1" firstDataCol="1"/>
  <pivotFields>
    <pivotField name="order_id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ser_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t="default"/>
      </items>
    </pivotField>
    <pivotField name="product_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ategory" compact="0" numFmtId="49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quantity" compact="0" numFmtId="1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method" compact="0" numFmtId="49" outline="0" multipleItemSelectionAllowed="1" showAll="0">
      <items>
        <item x="0"/>
        <item x="1"/>
        <item x="2"/>
        <item x="3"/>
        <item t="default"/>
      </items>
    </pivotField>
    <pivotField name="delivery_status" axis="axisRow" compact="0" numFmtId="49" outline="0" multipleItemSelectionAllowed="1" showAll="0" sortType="descending">
      <items>
        <item x="3"/>
        <item x="2"/>
        <item x="1"/>
        <item x="0"/>
        <item t="default"/>
      </items>
    </pivotField>
    <pivotField name="country" axis="axisCol" compact="0" numFmtId="49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evice" compact="0" numFmtId="49" outline="0" multipleItemSelectionAllowed="1" showAll="0">
      <items>
        <item x="0"/>
        <item x="1"/>
        <item x="2"/>
        <item t="default"/>
      </items>
    </pivotField>
    <pivotField name="total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</pivotFields>
  <rowFields>
    <field x="9"/>
  </rowFields>
  <colFields>
    <field x="10"/>
  </colFields>
  <dataFields>
    <dataField name="COUNTA of order_id" fld="0" subtotal="count" baseField="0"/>
  </dataFields>
</pivotTableDefinition>
</file>

<file path=xl/pivotTables/pivotTable4.xml><?xml version="1.0" encoding="utf-8"?>
<pivotTableDefinition xmlns="http://schemas.openxmlformats.org/spreadsheetml/2006/main" name="Dashboard" cacheId="2" dataCaption="" compact="0" compactData="0">
  <location ref="A6:D19" firstHeaderRow="0" firstDataRow="2" firstDataCol="0"/>
  <pivotFields>
    <pivotField name="order_id" dataField="1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user_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order_date" axis="axisRow" compact="0" numFmtId="164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product_id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  <pivotField name="category" compact="0" numFmtId="49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t="default"/>
      </items>
    </pivotField>
    <pivotField name="quantity" dataField="1" compact="0" numFmtId="1" outline="0" multipleItemSelectionAllowed="1" showAll="0">
      <items>
        <item x="0"/>
        <item x="1"/>
        <item x="2"/>
        <item x="3"/>
        <item t="default"/>
      </items>
    </pivotField>
    <pivotField name="discount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payment_method" compact="0" numFmtId="49" outline="0" multipleItemSelectionAllowed="1" showAll="0">
      <items>
        <item x="0"/>
        <item x="1"/>
        <item x="2"/>
        <item x="3"/>
        <item t="default"/>
      </items>
    </pivotField>
    <pivotField name="delivery_status" compact="0" numFmtId="49" outline="0" multipleItemSelectionAllowed="1" showAll="0">
      <items>
        <item x="0"/>
        <item x="1"/>
        <item x="2"/>
        <item x="3"/>
        <item t="default"/>
      </items>
    </pivotField>
    <pivotField name="country" compact="0" numFmtId="49" outline="0" multipleItemSelectionAllowed="1" showAll="0">
      <items>
        <item x="0"/>
        <item x="1"/>
        <item x="2"/>
        <item x="3"/>
        <item x="4"/>
        <item t="default"/>
      </items>
    </pivotField>
    <pivotField name="device" compact="0" numFmtId="49" outline="0" multipleItemSelectionAllowed="1" showAll="0">
      <items>
        <item x="0"/>
        <item x="1"/>
        <item x="2"/>
        <item t="default"/>
      </items>
    </pivotField>
    <pivotField name="total" dataField="1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t="default"/>
      </items>
    </pivotField>
  </pivotFields>
  <rowFields>
    <field x="2"/>
  </rowFields>
  <colFields>
    <field x="-2"/>
  </colFields>
  <dataFields>
    <dataField name="COUNTA of order_id" fld="0" subtotal="count" baseField="0"/>
    <dataField name="SUM of quantity" fld="6" baseField="0"/>
    <dataField name="SUM of total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K1" dT="2025-11-19T13:36:35.00" personId="{2be59d7d-cce0-4203-8128-0391177346b7}" id="{9953009b-f9eb-4462-83d2-453d15e116b2}" done="0">
    <x18tc:text xml:space="preserve">String</x18tc:text>
  </x18tc:threadedComment>
  <x18tc:threadedComment ref="L1" dT="2025-11-19T13:36:45.00" personId="{2be59d7d-cce0-4203-8128-0391177346b7}" id="{97201a33-d73d-42eb-80bc-9c8352ccf1d9}" done="0">
    <x18tc:text xml:space="preserve">String</x18tc:text>
  </x18tc:threadedComment>
  <x18tc:threadedComment ref="E1" dT="2025-11-19T13:20:05.00" personId="{2be59d7d-cce0-4203-8128-0391177346b7}" id="{d28f4d8d-f1c9-43ad-968e-45b3cdf52caf}" done="0">
    <x18tc:text xml:space="preserve">String</x18tc:text>
  </x18tc:threadedComment>
  <x18tc:threadedComment ref="C1" dT="2025-11-19T13:19:22.00" personId="{2be59d7d-cce0-4203-8128-0391177346b7}" id="{9070b858-70f8-4b02-bf44-41d70e9f8d44}" done="0">
    <x18tc:text xml:space="preserve">Date</x18tc:text>
  </x18tc:threadedComment>
  <x18tc:threadedComment ref="N1" dT="2025-11-26T12:19:38.00" personId="{2be59d7d-cce0-4203-8128-0391177346b7}" id="{b1c82b4e-8774-4285-857f-1ece09227d18}" done="0">
    <x18tc:text xml:space="preserve">Float point</x18tc:text>
  </x18tc:threadedComment>
  <x18tc:threadedComment ref="M1" dT="2025-11-19T13:37:03.00" personId="{2be59d7d-cce0-4203-8128-0391177346b7}" id="{dea475b8-df4e-4ae6-9bdc-1d1c41f35a2f}" done="0">
    <x18tc:text xml:space="preserve">Floating point</x18tc:text>
  </x18tc:threadedComment>
  <x18tc:threadedComment ref="F1" dT="2025-11-19T13:20:40.00" personId="{2be59d7d-cce0-4203-8128-0391177346b7}" id="{2887feae-ba3a-48d2-a23a-a49027c36466}" done="0">
    <x18tc:text xml:space="preserve">Floating point</x18tc:text>
  </x18tc:threadedComment>
  <x18tc:threadedComment ref="D1" dT="2025-11-19T13:19:38.00" personId="{2be59d7d-cce0-4203-8128-0391177346b7}" id="{343896de-edde-4804-b023-dadefeed0bae}" done="0">
    <x18tc:text xml:space="preserve">String</x18tc:text>
  </x18tc:threadedComment>
  <x18tc:threadedComment ref="G1" dT="2025-11-19T13:21:11.00" personId="{2be59d7d-cce0-4203-8128-0391177346b7}" id="{c9b5bcda-217b-40b3-a445-cbda15fe5318}" done="0">
    <x18tc:text xml:space="preserve">Integer</x18tc:text>
  </x18tc:threadedComment>
  <x18tc:threadedComment ref="A1" dT="2025-11-19T10:10:30.00" personId="{2be59d7d-cce0-4203-8128-0391177346b7}" id="{3e7149ed-44b2-4398-8780-fb7a7c9ea30f}" done="0">
    <x18tc:text xml:space="preserve">String</x18tc:text>
  </x18tc:threadedComment>
  <x18tc:threadedComment ref="H1" dT="2025-11-19T13:33:33.00" personId="{2be59d7d-cce0-4203-8128-0391177346b7}" id="{aa809cb8-434a-4fe0-a2d5-b057d6ab69b0}" done="0">
    <x18tc:text xml:space="preserve">Floating point</x18tc:text>
  </x18tc:threadedComment>
  <x18tc:threadedComment ref="B1" dT="2025-11-19T10:29:18.00" personId="{2be59d7d-cce0-4203-8128-0391177346b7}" id="{fe7db91d-8bab-4d32-a897-c252eb785a1c}" done="0">
    <x18tc:text xml:space="preserve">String</x18tc:text>
  </x18tc:threadedComment>
  <x18tc:threadedComment ref="I1" dT="2025-11-19T13:33:43.00" personId="{2be59d7d-cce0-4203-8128-0391177346b7}" id="{a64c1a6c-eb8b-49e3-b301-162a0b009ecd}" done="0">
    <x18tc:text xml:space="preserve">String</x18tc:text>
  </x18tc:threadedComment>
  <x18tc:threadedComment ref="J1" dT="2025-11-19T13:36:11.00" personId="{2be59d7d-cce0-4203-8128-0391177346b7}" id="{29190d82-5599-41ed-a904-8238ae801be5}" done="0">
    <x18tc:text xml:space="preserve">String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" dT="2025-11-21T11:49:47.00" personId="{2be59d7d-cce0-4203-8128-0391177346b7}" id="{68eb2aee-4869-406a-b108-d075a794111c}" done="0">
    <x18tc:text xml:space="preserve">кількість замовлень</x18tc:text>
  </x18tc:threadedComment>
  <x18tc:threadedComment ref="C2" dT="2025-11-21T11:50:03.00" personId="{2be59d7d-cce0-4203-8128-0391177346b7}" id="{b41479fa-7d26-4c27-af80-dce55122b9f9}" done="0">
    <x18tc:text xml:space="preserve">кількість одиниць</x18tc:text>
  </x18tc:threadedComment>
  <x18tc:threadedComment ref="D2" dT="2025-11-21T11:50:17.00" personId="{2be59d7d-cce0-4203-8128-0391177346b7}" id="{7567df7f-6f31-4949-a558-11349c6ec07f}" done="0">
    <x18tc:text xml:space="preserve">сумма замовлень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pivotTable" Target="../pivotTables/pivotTable1.xml"/><Relationship Id="rId5" Type="http://schemas.openxmlformats.org/officeDocument/2006/relationships/pivotTable" Target="../pivotTables/pivotTable2.xml"/><Relationship Id="rId6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8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2" t="s">
        <v>15</v>
      </c>
      <c r="D2" s="2" t="s">
        <v>16</v>
      </c>
      <c r="E2" s="1" t="s">
        <v>17</v>
      </c>
      <c r="F2" s="2" t="s">
        <v>18</v>
      </c>
      <c r="G2" s="2" t="s">
        <v>19</v>
      </c>
      <c r="H2" s="2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2" t="s">
        <v>25</v>
      </c>
    </row>
    <row r="3">
      <c r="A3" s="1" t="s">
        <v>26</v>
      </c>
      <c r="B3" s="1" t="s">
        <v>27</v>
      </c>
      <c r="C3" s="2" t="s">
        <v>28</v>
      </c>
      <c r="D3" s="2" t="s">
        <v>29</v>
      </c>
      <c r="E3" s="1" t="s">
        <v>30</v>
      </c>
      <c r="F3" s="2" t="s">
        <v>31</v>
      </c>
      <c r="G3" s="2" t="s">
        <v>32</v>
      </c>
      <c r="H3" s="2" t="s">
        <v>33</v>
      </c>
      <c r="I3" s="1" t="s">
        <v>34</v>
      </c>
      <c r="J3" s="1" t="s">
        <v>22</v>
      </c>
      <c r="K3" s="1" t="s">
        <v>35</v>
      </c>
      <c r="L3" s="1" t="s">
        <v>36</v>
      </c>
      <c r="M3" s="2" t="s">
        <v>37</v>
      </c>
    </row>
    <row r="4">
      <c r="A4" s="1" t="s">
        <v>38</v>
      </c>
      <c r="B4" s="1" t="s">
        <v>39</v>
      </c>
      <c r="C4" s="2" t="s">
        <v>40</v>
      </c>
      <c r="D4" s="2" t="s">
        <v>41</v>
      </c>
      <c r="E4" s="1" t="s">
        <v>42</v>
      </c>
      <c r="F4" s="2" t="s">
        <v>43</v>
      </c>
      <c r="G4" s="2" t="s">
        <v>44</v>
      </c>
      <c r="H4" s="2" t="s">
        <v>33</v>
      </c>
      <c r="I4" s="1" t="s">
        <v>21</v>
      </c>
      <c r="J4" s="1" t="s">
        <v>45</v>
      </c>
      <c r="K4" s="1" t="s">
        <v>23</v>
      </c>
      <c r="L4" s="1" t="s">
        <v>46</v>
      </c>
      <c r="M4" s="2" t="s">
        <v>47</v>
      </c>
    </row>
    <row r="5">
      <c r="A5" s="1" t="s">
        <v>48</v>
      </c>
      <c r="B5" s="1" t="s">
        <v>49</v>
      </c>
      <c r="C5" s="2" t="s">
        <v>50</v>
      </c>
      <c r="D5" s="2" t="s">
        <v>51</v>
      </c>
      <c r="E5" s="1" t="s">
        <v>52</v>
      </c>
      <c r="F5" s="2" t="s">
        <v>53</v>
      </c>
      <c r="G5" s="2" t="s">
        <v>32</v>
      </c>
      <c r="H5" s="2" t="s">
        <v>54</v>
      </c>
      <c r="I5" s="1" t="s">
        <v>55</v>
      </c>
      <c r="J5" s="1" t="s">
        <v>56</v>
      </c>
      <c r="K5" s="1" t="s">
        <v>23</v>
      </c>
      <c r="L5" s="1" t="s">
        <v>46</v>
      </c>
      <c r="M5" s="2" t="s">
        <v>57</v>
      </c>
    </row>
    <row r="6">
      <c r="A6" s="1" t="s">
        <v>58</v>
      </c>
      <c r="B6" s="1" t="s">
        <v>59</v>
      </c>
      <c r="C6" s="2" t="s">
        <v>60</v>
      </c>
      <c r="D6" s="2" t="s">
        <v>61</v>
      </c>
      <c r="E6" s="1" t="s">
        <v>42</v>
      </c>
      <c r="F6" s="2" t="s">
        <v>62</v>
      </c>
      <c r="G6" s="2" t="s">
        <v>63</v>
      </c>
      <c r="H6" s="2" t="s">
        <v>64</v>
      </c>
      <c r="I6" s="1" t="s">
        <v>65</v>
      </c>
      <c r="J6" s="1" t="s">
        <v>22</v>
      </c>
      <c r="K6" s="1" t="s">
        <v>23</v>
      </c>
      <c r="L6" s="1" t="s">
        <v>24</v>
      </c>
      <c r="M6" s="2" t="s">
        <v>66</v>
      </c>
    </row>
    <row r="7">
      <c r="A7" s="1" t="s">
        <v>67</v>
      </c>
      <c r="B7" s="1" t="s">
        <v>68</v>
      </c>
      <c r="C7" s="2" t="s">
        <v>69</v>
      </c>
      <c r="D7" s="2" t="s">
        <v>70</v>
      </c>
      <c r="E7" s="1" t="s">
        <v>42</v>
      </c>
      <c r="F7" s="2" t="s">
        <v>71</v>
      </c>
      <c r="G7" s="2" t="s">
        <v>63</v>
      </c>
      <c r="H7" s="2" t="s">
        <v>72</v>
      </c>
      <c r="I7" s="1" t="s">
        <v>65</v>
      </c>
      <c r="J7" s="1" t="s">
        <v>73</v>
      </c>
      <c r="K7" s="1" t="s">
        <v>23</v>
      </c>
      <c r="L7" s="1" t="s">
        <v>46</v>
      </c>
      <c r="M7" s="2" t="s">
        <v>74</v>
      </c>
    </row>
    <row r="8">
      <c r="A8" s="1" t="s">
        <v>75</v>
      </c>
      <c r="B8" s="1" t="s">
        <v>76</v>
      </c>
      <c r="C8" s="2" t="s">
        <v>77</v>
      </c>
      <c r="D8" s="2" t="s">
        <v>78</v>
      </c>
      <c r="E8" s="1" t="s">
        <v>30</v>
      </c>
      <c r="F8" s="2" t="s">
        <v>79</v>
      </c>
      <c r="G8" s="2" t="s">
        <v>63</v>
      </c>
      <c r="H8" s="2" t="s">
        <v>80</v>
      </c>
      <c r="I8" s="1" t="s">
        <v>55</v>
      </c>
      <c r="J8" s="1" t="s">
        <v>56</v>
      </c>
      <c r="K8" s="1" t="s">
        <v>81</v>
      </c>
      <c r="L8" s="1" t="s">
        <v>36</v>
      </c>
      <c r="M8" s="2" t="s">
        <v>82</v>
      </c>
    </row>
    <row r="9">
      <c r="A9" s="1" t="s">
        <v>83</v>
      </c>
      <c r="B9" s="1" t="s">
        <v>84</v>
      </c>
      <c r="C9" s="2" t="s">
        <v>85</v>
      </c>
      <c r="D9" s="2" t="s">
        <v>86</v>
      </c>
      <c r="E9" s="1" t="s">
        <v>52</v>
      </c>
      <c r="F9" s="2" t="s">
        <v>87</v>
      </c>
      <c r="G9" s="2" t="s">
        <v>63</v>
      </c>
      <c r="H9" s="2" t="s">
        <v>20</v>
      </c>
      <c r="I9" s="1" t="s">
        <v>21</v>
      </c>
      <c r="J9" s="1" t="s">
        <v>45</v>
      </c>
      <c r="K9" s="1" t="s">
        <v>88</v>
      </c>
      <c r="L9" s="1" t="s">
        <v>24</v>
      </c>
      <c r="M9" s="2" t="s">
        <v>89</v>
      </c>
    </row>
    <row r="10">
      <c r="A10" s="1" t="s">
        <v>90</v>
      </c>
      <c r="B10" s="1" t="s">
        <v>91</v>
      </c>
      <c r="C10" s="2" t="s">
        <v>92</v>
      </c>
      <c r="D10" s="2" t="s">
        <v>93</v>
      </c>
      <c r="E10" s="1" t="s">
        <v>42</v>
      </c>
      <c r="F10" s="2" t="s">
        <v>94</v>
      </c>
      <c r="G10" s="2" t="s">
        <v>32</v>
      </c>
      <c r="H10" s="2" t="s">
        <v>95</v>
      </c>
      <c r="I10" s="1" t="s">
        <v>55</v>
      </c>
      <c r="J10" s="1" t="s">
        <v>45</v>
      </c>
      <c r="K10" s="1" t="s">
        <v>88</v>
      </c>
      <c r="L10" s="1" t="s">
        <v>46</v>
      </c>
      <c r="M10" s="2" t="s">
        <v>96</v>
      </c>
    </row>
    <row r="11">
      <c r="A11" s="1" t="s">
        <v>97</v>
      </c>
      <c r="B11" s="1" t="s">
        <v>98</v>
      </c>
      <c r="C11" s="2" t="s">
        <v>99</v>
      </c>
      <c r="D11" s="2" t="s">
        <v>100</v>
      </c>
      <c r="E11" s="1" t="s">
        <v>42</v>
      </c>
      <c r="F11" s="2" t="s">
        <v>101</v>
      </c>
      <c r="G11" s="2" t="s">
        <v>44</v>
      </c>
      <c r="H11" s="2" t="s">
        <v>54</v>
      </c>
      <c r="I11" s="1" t="s">
        <v>55</v>
      </c>
      <c r="J11" s="1" t="s">
        <v>73</v>
      </c>
      <c r="K11" s="1" t="s">
        <v>81</v>
      </c>
      <c r="L11" s="1" t="s">
        <v>36</v>
      </c>
      <c r="M11" s="2" t="s">
        <v>102</v>
      </c>
    </row>
    <row r="12">
      <c r="A12" s="1" t="s">
        <v>103</v>
      </c>
      <c r="B12" s="1" t="s">
        <v>104</v>
      </c>
      <c r="C12" s="2" t="s">
        <v>105</v>
      </c>
      <c r="D12" s="2" t="s">
        <v>106</v>
      </c>
      <c r="E12" s="1" t="s">
        <v>17</v>
      </c>
      <c r="F12" s="2" t="s">
        <v>107</v>
      </c>
      <c r="G12" s="2" t="s">
        <v>63</v>
      </c>
      <c r="H12" s="2" t="s">
        <v>95</v>
      </c>
      <c r="I12" s="1" t="s">
        <v>34</v>
      </c>
      <c r="J12" s="1" t="s">
        <v>73</v>
      </c>
      <c r="K12" s="1" t="s">
        <v>35</v>
      </c>
      <c r="L12" s="1" t="s">
        <v>46</v>
      </c>
      <c r="M12" s="2" t="s">
        <v>108</v>
      </c>
    </row>
    <row r="13">
      <c r="A13" s="1" t="s">
        <v>109</v>
      </c>
      <c r="B13" s="1" t="s">
        <v>110</v>
      </c>
      <c r="C13" s="2" t="s">
        <v>111</v>
      </c>
      <c r="D13" s="2" t="s">
        <v>112</v>
      </c>
      <c r="E13" s="1" t="s">
        <v>42</v>
      </c>
      <c r="F13" s="2" t="s">
        <v>113</v>
      </c>
      <c r="G13" s="2" t="s">
        <v>32</v>
      </c>
      <c r="H13" s="2" t="s">
        <v>114</v>
      </c>
      <c r="I13" s="1" t="s">
        <v>34</v>
      </c>
      <c r="J13" s="1" t="s">
        <v>73</v>
      </c>
      <c r="K13" s="1" t="s">
        <v>23</v>
      </c>
      <c r="L13" s="1" t="s">
        <v>46</v>
      </c>
      <c r="M13" s="2" t="s">
        <v>115</v>
      </c>
    </row>
    <row r="14">
      <c r="A14" s="1" t="s">
        <v>116</v>
      </c>
      <c r="B14" s="1" t="s">
        <v>117</v>
      </c>
      <c r="C14" s="2" t="s">
        <v>118</v>
      </c>
      <c r="D14" s="2" t="s">
        <v>119</v>
      </c>
      <c r="E14" s="1" t="s">
        <v>52</v>
      </c>
      <c r="F14" s="2" t="s">
        <v>120</v>
      </c>
      <c r="G14" s="2" t="s">
        <v>19</v>
      </c>
      <c r="H14" s="2" t="s">
        <v>72</v>
      </c>
      <c r="I14" s="1" t="s">
        <v>65</v>
      </c>
      <c r="J14" s="1" t="s">
        <v>56</v>
      </c>
      <c r="K14" s="1" t="s">
        <v>121</v>
      </c>
      <c r="L14" s="1" t="s">
        <v>24</v>
      </c>
      <c r="M14" s="2" t="s">
        <v>122</v>
      </c>
    </row>
    <row r="15">
      <c r="A15" s="1" t="s">
        <v>123</v>
      </c>
      <c r="B15" s="1" t="s">
        <v>124</v>
      </c>
      <c r="C15" s="2" t="s">
        <v>125</v>
      </c>
      <c r="D15" s="2" t="s">
        <v>126</v>
      </c>
      <c r="E15" s="1" t="s">
        <v>30</v>
      </c>
      <c r="F15" s="2" t="s">
        <v>127</v>
      </c>
      <c r="G15" s="2" t="s">
        <v>63</v>
      </c>
      <c r="H15" s="2" t="s">
        <v>128</v>
      </c>
      <c r="I15" s="1" t="s">
        <v>21</v>
      </c>
      <c r="J15" s="1" t="s">
        <v>22</v>
      </c>
      <c r="K15" s="1" t="s">
        <v>81</v>
      </c>
      <c r="L15" s="1" t="s">
        <v>24</v>
      </c>
      <c r="M15" s="2" t="s">
        <v>129</v>
      </c>
    </row>
    <row r="16">
      <c r="A16" s="1" t="s">
        <v>130</v>
      </c>
      <c r="B16" s="1" t="s">
        <v>131</v>
      </c>
      <c r="C16" s="2" t="s">
        <v>132</v>
      </c>
      <c r="D16" s="2" t="s">
        <v>133</v>
      </c>
      <c r="E16" s="1" t="s">
        <v>30</v>
      </c>
      <c r="F16" s="2" t="s">
        <v>134</v>
      </c>
      <c r="G16" s="2" t="s">
        <v>19</v>
      </c>
      <c r="H16" s="2" t="s">
        <v>64</v>
      </c>
      <c r="I16" s="1" t="s">
        <v>34</v>
      </c>
      <c r="J16" s="1" t="s">
        <v>45</v>
      </c>
      <c r="K16" s="1" t="s">
        <v>88</v>
      </c>
      <c r="L16" s="1" t="s">
        <v>24</v>
      </c>
      <c r="M16" s="2" t="s">
        <v>135</v>
      </c>
    </row>
    <row r="17">
      <c r="A17" s="1" t="s">
        <v>136</v>
      </c>
      <c r="B17" s="1" t="s">
        <v>137</v>
      </c>
      <c r="C17" s="2" t="s">
        <v>138</v>
      </c>
      <c r="D17" s="2" t="s">
        <v>139</v>
      </c>
      <c r="E17" s="1" t="s">
        <v>52</v>
      </c>
      <c r="F17" s="2" t="s">
        <v>140</v>
      </c>
      <c r="G17" s="2" t="s">
        <v>63</v>
      </c>
      <c r="H17" s="2" t="s">
        <v>141</v>
      </c>
      <c r="I17" s="1" t="s">
        <v>55</v>
      </c>
      <c r="J17" s="1" t="s">
        <v>73</v>
      </c>
      <c r="K17" s="1" t="s">
        <v>121</v>
      </c>
      <c r="L17" s="1" t="s">
        <v>46</v>
      </c>
      <c r="M17" s="2" t="s">
        <v>142</v>
      </c>
    </row>
    <row r="18">
      <c r="A18" s="1" t="s">
        <v>143</v>
      </c>
      <c r="B18" s="1" t="s">
        <v>144</v>
      </c>
      <c r="C18" s="2" t="s">
        <v>145</v>
      </c>
      <c r="D18" s="2" t="s">
        <v>146</v>
      </c>
      <c r="E18" s="1" t="s">
        <v>17</v>
      </c>
      <c r="F18" s="2" t="s">
        <v>147</v>
      </c>
      <c r="G18" s="2" t="s">
        <v>63</v>
      </c>
      <c r="H18" s="2" t="s">
        <v>72</v>
      </c>
      <c r="I18" s="1" t="s">
        <v>55</v>
      </c>
      <c r="J18" s="1" t="s">
        <v>56</v>
      </c>
      <c r="K18" s="1" t="s">
        <v>35</v>
      </c>
      <c r="L18" s="1" t="s">
        <v>46</v>
      </c>
      <c r="M18" s="2" t="s">
        <v>148</v>
      </c>
    </row>
    <row r="19">
      <c r="A19" s="1" t="s">
        <v>149</v>
      </c>
      <c r="B19" s="1" t="s">
        <v>150</v>
      </c>
      <c r="C19" s="2" t="s">
        <v>151</v>
      </c>
      <c r="D19" s="2" t="s">
        <v>152</v>
      </c>
      <c r="E19" s="1" t="s">
        <v>17</v>
      </c>
      <c r="F19" s="2" t="s">
        <v>153</v>
      </c>
      <c r="G19" s="2" t="s">
        <v>32</v>
      </c>
      <c r="H19" s="2" t="s">
        <v>33</v>
      </c>
      <c r="I19" s="1" t="s">
        <v>65</v>
      </c>
      <c r="J19" s="1" t="s">
        <v>73</v>
      </c>
      <c r="K19" s="1" t="s">
        <v>88</v>
      </c>
      <c r="L19" s="1" t="s">
        <v>36</v>
      </c>
      <c r="M19" s="2" t="s">
        <v>154</v>
      </c>
    </row>
    <row r="20">
      <c r="A20" s="1" t="s">
        <v>155</v>
      </c>
      <c r="B20" s="1" t="s">
        <v>156</v>
      </c>
      <c r="C20" s="2" t="s">
        <v>157</v>
      </c>
      <c r="D20" s="2" t="s">
        <v>158</v>
      </c>
      <c r="E20" s="1" t="s">
        <v>17</v>
      </c>
      <c r="F20" s="2" t="s">
        <v>159</v>
      </c>
      <c r="G20" s="2" t="s">
        <v>44</v>
      </c>
      <c r="H20" s="2" t="s">
        <v>33</v>
      </c>
      <c r="I20" s="1" t="s">
        <v>21</v>
      </c>
      <c r="J20" s="1" t="s">
        <v>56</v>
      </c>
      <c r="K20" s="1" t="s">
        <v>121</v>
      </c>
      <c r="L20" s="1" t="s">
        <v>24</v>
      </c>
      <c r="M20" s="2" t="s">
        <v>160</v>
      </c>
    </row>
    <row r="21">
      <c r="A21" s="1" t="s">
        <v>161</v>
      </c>
      <c r="B21" s="1" t="s">
        <v>162</v>
      </c>
      <c r="C21" s="2" t="s">
        <v>125</v>
      </c>
      <c r="D21" s="2" t="s">
        <v>163</v>
      </c>
      <c r="E21" s="1" t="s">
        <v>17</v>
      </c>
      <c r="F21" s="2" t="s">
        <v>164</v>
      </c>
      <c r="G21" s="2" t="s">
        <v>32</v>
      </c>
      <c r="H21" s="2" t="s">
        <v>95</v>
      </c>
      <c r="I21" s="1" t="s">
        <v>34</v>
      </c>
      <c r="J21" s="1" t="s">
        <v>45</v>
      </c>
      <c r="K21" s="1" t="s">
        <v>35</v>
      </c>
      <c r="L21" s="1" t="s">
        <v>24</v>
      </c>
      <c r="M21" s="2" t="s">
        <v>165</v>
      </c>
    </row>
    <row r="22">
      <c r="A22" s="1" t="s">
        <v>166</v>
      </c>
      <c r="B22" s="1" t="s">
        <v>167</v>
      </c>
      <c r="C22" s="2" t="s">
        <v>168</v>
      </c>
      <c r="D22" s="2" t="s">
        <v>169</v>
      </c>
      <c r="E22" s="1" t="s">
        <v>52</v>
      </c>
      <c r="F22" s="2" t="s">
        <v>170</v>
      </c>
      <c r="G22" s="2" t="s">
        <v>32</v>
      </c>
      <c r="H22" s="2" t="s">
        <v>33</v>
      </c>
      <c r="I22" s="1" t="s">
        <v>21</v>
      </c>
      <c r="J22" s="1" t="s">
        <v>73</v>
      </c>
      <c r="K22" s="1" t="s">
        <v>23</v>
      </c>
      <c r="L22" s="1" t="s">
        <v>36</v>
      </c>
      <c r="M22" s="2" t="s">
        <v>171</v>
      </c>
    </row>
    <row r="23">
      <c r="A23" s="1" t="s">
        <v>172</v>
      </c>
      <c r="B23" s="1" t="s">
        <v>173</v>
      </c>
      <c r="C23" s="2" t="s">
        <v>138</v>
      </c>
      <c r="D23" s="2" t="s">
        <v>174</v>
      </c>
      <c r="E23" s="1" t="s">
        <v>30</v>
      </c>
      <c r="F23" s="2" t="s">
        <v>175</v>
      </c>
      <c r="G23" s="2" t="s">
        <v>19</v>
      </c>
      <c r="H23" s="2" t="s">
        <v>54</v>
      </c>
      <c r="I23" s="1" t="s">
        <v>55</v>
      </c>
      <c r="J23" s="1" t="s">
        <v>22</v>
      </c>
      <c r="K23" s="1" t="s">
        <v>88</v>
      </c>
      <c r="L23" s="1" t="s">
        <v>46</v>
      </c>
      <c r="M23" s="2" t="s">
        <v>176</v>
      </c>
    </row>
    <row r="24">
      <c r="A24" s="1" t="s">
        <v>177</v>
      </c>
      <c r="B24" s="1" t="s">
        <v>178</v>
      </c>
      <c r="C24" s="2" t="s">
        <v>179</v>
      </c>
      <c r="D24" s="2" t="s">
        <v>180</v>
      </c>
      <c r="E24" s="1" t="s">
        <v>17</v>
      </c>
      <c r="F24" s="2" t="s">
        <v>181</v>
      </c>
      <c r="G24" s="2" t="s">
        <v>32</v>
      </c>
      <c r="H24" s="2" t="s">
        <v>141</v>
      </c>
      <c r="I24" s="1" t="s">
        <v>55</v>
      </c>
      <c r="J24" s="1" t="s">
        <v>56</v>
      </c>
      <c r="K24" s="1" t="s">
        <v>81</v>
      </c>
      <c r="L24" s="1" t="s">
        <v>36</v>
      </c>
      <c r="M24" s="2" t="s">
        <v>182</v>
      </c>
    </row>
    <row r="25">
      <c r="A25" s="1" t="s">
        <v>183</v>
      </c>
      <c r="B25" s="1" t="s">
        <v>184</v>
      </c>
      <c r="C25" s="2" t="s">
        <v>185</v>
      </c>
      <c r="D25" s="2" t="s">
        <v>186</v>
      </c>
      <c r="E25" s="1" t="s">
        <v>30</v>
      </c>
      <c r="F25" s="2" t="s">
        <v>187</v>
      </c>
      <c r="G25" s="2" t="s">
        <v>32</v>
      </c>
      <c r="H25" s="2" t="s">
        <v>33</v>
      </c>
      <c r="I25" s="1" t="s">
        <v>65</v>
      </c>
      <c r="J25" s="1" t="s">
        <v>45</v>
      </c>
      <c r="K25" s="1" t="s">
        <v>121</v>
      </c>
      <c r="L25" s="1" t="s">
        <v>36</v>
      </c>
      <c r="M25" s="2" t="s">
        <v>188</v>
      </c>
    </row>
    <row r="26">
      <c r="A26" s="1" t="s">
        <v>189</v>
      </c>
      <c r="B26" s="1" t="s">
        <v>190</v>
      </c>
      <c r="C26" s="2" t="s">
        <v>191</v>
      </c>
      <c r="D26" s="2" t="s">
        <v>192</v>
      </c>
      <c r="E26" s="1" t="s">
        <v>42</v>
      </c>
      <c r="F26" s="2" t="s">
        <v>193</v>
      </c>
      <c r="G26" s="2" t="s">
        <v>32</v>
      </c>
      <c r="H26" s="2" t="s">
        <v>194</v>
      </c>
      <c r="I26" s="1" t="s">
        <v>65</v>
      </c>
      <c r="J26" s="1" t="s">
        <v>56</v>
      </c>
      <c r="K26" s="1" t="s">
        <v>88</v>
      </c>
      <c r="L26" s="1" t="s">
        <v>24</v>
      </c>
      <c r="M26" s="2" t="s">
        <v>195</v>
      </c>
    </row>
    <row r="27">
      <c r="A27" s="1" t="s">
        <v>196</v>
      </c>
      <c r="B27" s="1" t="s">
        <v>197</v>
      </c>
      <c r="C27" s="2" t="s">
        <v>198</v>
      </c>
      <c r="D27" s="2" t="s">
        <v>199</v>
      </c>
      <c r="E27" s="1" t="s">
        <v>200</v>
      </c>
      <c r="F27" s="2" t="s">
        <v>201</v>
      </c>
      <c r="G27" s="2" t="s">
        <v>44</v>
      </c>
      <c r="H27" s="2" t="s">
        <v>64</v>
      </c>
      <c r="I27" s="1" t="s">
        <v>65</v>
      </c>
      <c r="J27" s="1" t="s">
        <v>45</v>
      </c>
      <c r="K27" s="1" t="s">
        <v>121</v>
      </c>
      <c r="L27" s="1" t="s">
        <v>24</v>
      </c>
      <c r="M27" s="2" t="s">
        <v>202</v>
      </c>
    </row>
    <row r="28">
      <c r="A28" s="1" t="s">
        <v>203</v>
      </c>
      <c r="B28" s="1" t="s">
        <v>204</v>
      </c>
      <c r="C28" s="2" t="s">
        <v>205</v>
      </c>
      <c r="D28" s="2" t="s">
        <v>206</v>
      </c>
      <c r="E28" s="1" t="s">
        <v>42</v>
      </c>
      <c r="F28" s="2" t="s">
        <v>207</v>
      </c>
      <c r="G28" s="2" t="s">
        <v>19</v>
      </c>
      <c r="H28" s="2" t="s">
        <v>95</v>
      </c>
      <c r="I28" s="1" t="s">
        <v>65</v>
      </c>
      <c r="J28" s="1" t="s">
        <v>22</v>
      </c>
      <c r="K28" s="1" t="s">
        <v>81</v>
      </c>
      <c r="L28" s="1" t="s">
        <v>46</v>
      </c>
      <c r="M28" s="2" t="s">
        <v>208</v>
      </c>
    </row>
    <row r="29">
      <c r="A29" s="1" t="s">
        <v>209</v>
      </c>
      <c r="B29" s="1" t="s">
        <v>210</v>
      </c>
      <c r="C29" s="2" t="s">
        <v>211</v>
      </c>
      <c r="D29" s="2" t="s">
        <v>212</v>
      </c>
      <c r="E29" s="1" t="s">
        <v>30</v>
      </c>
      <c r="F29" s="2" t="s">
        <v>213</v>
      </c>
      <c r="G29" s="2" t="s">
        <v>63</v>
      </c>
      <c r="H29" s="2" t="s">
        <v>214</v>
      </c>
      <c r="I29" s="1" t="s">
        <v>55</v>
      </c>
      <c r="J29" s="1" t="s">
        <v>45</v>
      </c>
      <c r="K29" s="1" t="s">
        <v>23</v>
      </c>
      <c r="L29" s="1" t="s">
        <v>46</v>
      </c>
      <c r="M29" s="2" t="s">
        <v>215</v>
      </c>
    </row>
    <row r="30">
      <c r="A30" s="1" t="s">
        <v>216</v>
      </c>
      <c r="B30" s="1" t="s">
        <v>217</v>
      </c>
      <c r="C30" s="2" t="s">
        <v>218</v>
      </c>
      <c r="D30" s="2" t="s">
        <v>219</v>
      </c>
      <c r="E30" s="1" t="s">
        <v>17</v>
      </c>
      <c r="F30" s="2" t="s">
        <v>220</v>
      </c>
      <c r="G30" s="2" t="s">
        <v>63</v>
      </c>
      <c r="H30" s="2" t="s">
        <v>80</v>
      </c>
      <c r="I30" s="1" t="s">
        <v>65</v>
      </c>
      <c r="J30" s="1" t="s">
        <v>45</v>
      </c>
      <c r="K30" s="1" t="s">
        <v>121</v>
      </c>
      <c r="L30" s="1" t="s">
        <v>46</v>
      </c>
      <c r="M30" s="2" t="s">
        <v>221</v>
      </c>
    </row>
    <row r="31">
      <c r="A31" s="1" t="s">
        <v>222</v>
      </c>
      <c r="B31" s="1" t="s">
        <v>223</v>
      </c>
      <c r="C31" s="2" t="s">
        <v>224</v>
      </c>
      <c r="D31" s="2" t="s">
        <v>225</v>
      </c>
      <c r="E31" s="1" t="s">
        <v>17</v>
      </c>
      <c r="F31" s="2" t="s">
        <v>226</v>
      </c>
      <c r="G31" s="2" t="s">
        <v>19</v>
      </c>
      <c r="H31" s="2" t="s">
        <v>80</v>
      </c>
      <c r="I31" s="1" t="s">
        <v>55</v>
      </c>
      <c r="J31" s="1" t="s">
        <v>73</v>
      </c>
      <c r="K31" s="1" t="s">
        <v>23</v>
      </c>
      <c r="L31" s="1" t="s">
        <v>24</v>
      </c>
      <c r="M31" s="2" t="s">
        <v>227</v>
      </c>
    </row>
    <row r="32">
      <c r="A32" s="1" t="s">
        <v>228</v>
      </c>
      <c r="B32" s="1" t="s">
        <v>229</v>
      </c>
      <c r="C32" s="2" t="s">
        <v>230</v>
      </c>
      <c r="D32" s="2" t="s">
        <v>231</v>
      </c>
      <c r="E32" s="1" t="s">
        <v>42</v>
      </c>
      <c r="F32" s="2" t="s">
        <v>232</v>
      </c>
      <c r="G32" s="2" t="s">
        <v>19</v>
      </c>
      <c r="H32" s="2" t="s">
        <v>54</v>
      </c>
      <c r="I32" s="1" t="s">
        <v>34</v>
      </c>
      <c r="J32" s="1" t="s">
        <v>22</v>
      </c>
      <c r="K32" s="1" t="s">
        <v>23</v>
      </c>
      <c r="L32" s="1" t="s">
        <v>24</v>
      </c>
      <c r="M32" s="2" t="s">
        <v>233</v>
      </c>
    </row>
    <row r="33">
      <c r="A33" s="1" t="s">
        <v>234</v>
      </c>
      <c r="B33" s="1" t="s">
        <v>235</v>
      </c>
      <c r="C33" s="2" t="s">
        <v>236</v>
      </c>
      <c r="D33" s="2" t="s">
        <v>237</v>
      </c>
      <c r="E33" s="1" t="s">
        <v>17</v>
      </c>
      <c r="F33" s="2" t="s">
        <v>238</v>
      </c>
      <c r="G33" s="2" t="s">
        <v>32</v>
      </c>
      <c r="H33" s="2" t="s">
        <v>95</v>
      </c>
      <c r="I33" s="1" t="s">
        <v>34</v>
      </c>
      <c r="J33" s="1" t="s">
        <v>45</v>
      </c>
      <c r="K33" s="1" t="s">
        <v>35</v>
      </c>
      <c r="L33" s="1" t="s">
        <v>36</v>
      </c>
      <c r="M33" s="2" t="s">
        <v>239</v>
      </c>
    </row>
    <row r="34">
      <c r="A34" s="1" t="s">
        <v>240</v>
      </c>
      <c r="B34" s="1" t="s">
        <v>241</v>
      </c>
      <c r="C34" s="2" t="s">
        <v>242</v>
      </c>
      <c r="D34" s="2" t="s">
        <v>243</v>
      </c>
      <c r="E34" s="1" t="s">
        <v>52</v>
      </c>
      <c r="F34" s="2" t="s">
        <v>244</v>
      </c>
      <c r="G34" s="2" t="s">
        <v>19</v>
      </c>
      <c r="H34" s="2" t="s">
        <v>64</v>
      </c>
      <c r="I34" s="1" t="s">
        <v>55</v>
      </c>
      <c r="J34" s="1" t="s">
        <v>73</v>
      </c>
      <c r="K34" s="1" t="s">
        <v>35</v>
      </c>
      <c r="L34" s="1" t="s">
        <v>24</v>
      </c>
      <c r="M34" s="2" t="s">
        <v>245</v>
      </c>
    </row>
    <row r="35">
      <c r="A35" s="1" t="s">
        <v>246</v>
      </c>
      <c r="B35" s="1" t="s">
        <v>247</v>
      </c>
      <c r="C35" s="2" t="s">
        <v>248</v>
      </c>
      <c r="D35" s="2" t="s">
        <v>249</v>
      </c>
      <c r="E35" s="1" t="s">
        <v>17</v>
      </c>
      <c r="F35" s="2" t="s">
        <v>250</v>
      </c>
      <c r="G35" s="2" t="s">
        <v>32</v>
      </c>
      <c r="H35" s="2" t="s">
        <v>64</v>
      </c>
      <c r="I35" s="1" t="s">
        <v>55</v>
      </c>
      <c r="J35" s="1" t="s">
        <v>22</v>
      </c>
      <c r="K35" s="1" t="s">
        <v>88</v>
      </c>
      <c r="L35" s="1" t="s">
        <v>24</v>
      </c>
      <c r="M35" s="2" t="s">
        <v>251</v>
      </c>
    </row>
    <row r="36">
      <c r="A36" s="1" t="s">
        <v>252</v>
      </c>
      <c r="B36" s="1" t="s">
        <v>253</v>
      </c>
      <c r="C36" s="2" t="s">
        <v>254</v>
      </c>
      <c r="D36" s="2" t="s">
        <v>255</v>
      </c>
      <c r="E36" s="1" t="s">
        <v>42</v>
      </c>
      <c r="F36" s="2" t="s">
        <v>256</v>
      </c>
      <c r="G36" s="2" t="s">
        <v>32</v>
      </c>
      <c r="H36" s="2" t="s">
        <v>54</v>
      </c>
      <c r="I36" s="1" t="s">
        <v>65</v>
      </c>
      <c r="J36" s="1" t="s">
        <v>73</v>
      </c>
      <c r="K36" s="1" t="s">
        <v>23</v>
      </c>
      <c r="L36" s="1" t="s">
        <v>24</v>
      </c>
      <c r="M36" s="2" t="s">
        <v>257</v>
      </c>
    </row>
    <row r="37">
      <c r="A37" s="1" t="s">
        <v>258</v>
      </c>
      <c r="B37" s="1" t="s">
        <v>259</v>
      </c>
      <c r="C37" s="2" t="s">
        <v>224</v>
      </c>
      <c r="D37" s="2" t="s">
        <v>260</v>
      </c>
      <c r="E37" s="1" t="s">
        <v>200</v>
      </c>
      <c r="F37" s="2" t="s">
        <v>261</v>
      </c>
      <c r="G37" s="2" t="s">
        <v>63</v>
      </c>
      <c r="H37" s="2" t="s">
        <v>33</v>
      </c>
      <c r="I37" s="1" t="s">
        <v>21</v>
      </c>
      <c r="J37" s="1" t="s">
        <v>56</v>
      </c>
      <c r="K37" s="1" t="s">
        <v>23</v>
      </c>
      <c r="L37" s="1" t="s">
        <v>46</v>
      </c>
      <c r="M37" s="2" t="s">
        <v>262</v>
      </c>
    </row>
    <row r="38">
      <c r="A38" s="1" t="s">
        <v>263</v>
      </c>
      <c r="B38" s="1" t="s">
        <v>264</v>
      </c>
      <c r="C38" s="2" t="s">
        <v>265</v>
      </c>
      <c r="D38" s="2" t="s">
        <v>266</v>
      </c>
      <c r="E38" s="1" t="s">
        <v>30</v>
      </c>
      <c r="F38" s="2" t="s">
        <v>267</v>
      </c>
      <c r="G38" s="2" t="s">
        <v>19</v>
      </c>
      <c r="H38" s="2" t="s">
        <v>33</v>
      </c>
      <c r="I38" s="1" t="s">
        <v>65</v>
      </c>
      <c r="J38" s="1" t="s">
        <v>73</v>
      </c>
      <c r="K38" s="1" t="s">
        <v>81</v>
      </c>
      <c r="L38" s="1" t="s">
        <v>46</v>
      </c>
      <c r="M38" s="2" t="s">
        <v>268</v>
      </c>
    </row>
    <row r="39">
      <c r="A39" s="1" t="s">
        <v>269</v>
      </c>
      <c r="B39" s="1" t="s">
        <v>270</v>
      </c>
      <c r="C39" s="2" t="s">
        <v>271</v>
      </c>
      <c r="D39" s="2" t="s">
        <v>272</v>
      </c>
      <c r="E39" s="1" t="s">
        <v>52</v>
      </c>
      <c r="F39" s="2" t="s">
        <v>273</v>
      </c>
      <c r="G39" s="2" t="s">
        <v>63</v>
      </c>
      <c r="H39" s="2" t="s">
        <v>128</v>
      </c>
      <c r="I39" s="1" t="s">
        <v>55</v>
      </c>
      <c r="J39" s="1" t="s">
        <v>22</v>
      </c>
      <c r="K39" s="1" t="s">
        <v>35</v>
      </c>
      <c r="L39" s="1" t="s">
        <v>36</v>
      </c>
      <c r="M39" s="2" t="s">
        <v>274</v>
      </c>
    </row>
    <row r="40">
      <c r="A40" s="1" t="s">
        <v>275</v>
      </c>
      <c r="B40" s="1" t="s">
        <v>276</v>
      </c>
      <c r="C40" s="2" t="s">
        <v>271</v>
      </c>
      <c r="D40" s="2" t="s">
        <v>277</v>
      </c>
      <c r="E40" s="1" t="s">
        <v>17</v>
      </c>
      <c r="F40" s="2" t="s">
        <v>278</v>
      </c>
      <c r="G40" s="2" t="s">
        <v>19</v>
      </c>
      <c r="H40" s="2" t="s">
        <v>64</v>
      </c>
      <c r="I40" s="1" t="s">
        <v>65</v>
      </c>
      <c r="J40" s="1" t="s">
        <v>45</v>
      </c>
      <c r="K40" s="1" t="s">
        <v>23</v>
      </c>
      <c r="L40" s="1" t="s">
        <v>24</v>
      </c>
      <c r="M40" s="2" t="s">
        <v>279</v>
      </c>
    </row>
    <row r="41">
      <c r="A41" s="1" t="s">
        <v>280</v>
      </c>
      <c r="B41" s="1" t="s">
        <v>281</v>
      </c>
      <c r="C41" s="2" t="s">
        <v>282</v>
      </c>
      <c r="D41" s="2" t="s">
        <v>283</v>
      </c>
      <c r="E41" s="1" t="s">
        <v>30</v>
      </c>
      <c r="F41" s="2" t="s">
        <v>284</v>
      </c>
      <c r="G41" s="2" t="s">
        <v>63</v>
      </c>
      <c r="H41" s="2" t="s">
        <v>33</v>
      </c>
      <c r="I41" s="1" t="s">
        <v>21</v>
      </c>
      <c r="J41" s="1" t="s">
        <v>45</v>
      </c>
      <c r="K41" s="1" t="s">
        <v>35</v>
      </c>
      <c r="L41" s="1" t="s">
        <v>46</v>
      </c>
      <c r="M41" s="2" t="s">
        <v>285</v>
      </c>
    </row>
    <row r="42">
      <c r="A42" s="1" t="s">
        <v>286</v>
      </c>
      <c r="B42" s="1" t="s">
        <v>287</v>
      </c>
      <c r="C42" s="2" t="s">
        <v>211</v>
      </c>
      <c r="D42" s="2" t="s">
        <v>288</v>
      </c>
      <c r="E42" s="1" t="s">
        <v>200</v>
      </c>
      <c r="F42" s="2" t="s">
        <v>289</v>
      </c>
      <c r="G42" s="2" t="s">
        <v>32</v>
      </c>
      <c r="H42" s="2" t="s">
        <v>72</v>
      </c>
      <c r="I42" s="1" t="s">
        <v>65</v>
      </c>
      <c r="J42" s="1" t="s">
        <v>56</v>
      </c>
      <c r="K42" s="1" t="s">
        <v>88</v>
      </c>
      <c r="L42" s="1" t="s">
        <v>24</v>
      </c>
      <c r="M42" s="2" t="s">
        <v>290</v>
      </c>
    </row>
    <row r="43">
      <c r="A43" s="1" t="s">
        <v>291</v>
      </c>
      <c r="B43" s="1" t="s">
        <v>292</v>
      </c>
      <c r="C43" s="2" t="s">
        <v>293</v>
      </c>
      <c r="D43" s="2" t="s">
        <v>294</v>
      </c>
      <c r="E43" s="1" t="s">
        <v>42</v>
      </c>
      <c r="F43" s="2" t="s">
        <v>295</v>
      </c>
      <c r="G43" s="2" t="s">
        <v>32</v>
      </c>
      <c r="H43" s="2" t="s">
        <v>114</v>
      </c>
      <c r="I43" s="1" t="s">
        <v>55</v>
      </c>
      <c r="J43" s="1" t="s">
        <v>45</v>
      </c>
      <c r="K43" s="1" t="s">
        <v>35</v>
      </c>
      <c r="L43" s="1" t="s">
        <v>36</v>
      </c>
      <c r="M43" s="2" t="s">
        <v>296</v>
      </c>
    </row>
    <row r="44">
      <c r="A44" s="1" t="s">
        <v>297</v>
      </c>
      <c r="B44" s="1" t="s">
        <v>298</v>
      </c>
      <c r="C44" s="2" t="s">
        <v>299</v>
      </c>
      <c r="D44" s="2" t="s">
        <v>300</v>
      </c>
      <c r="E44" s="1" t="s">
        <v>17</v>
      </c>
      <c r="F44" s="2" t="s">
        <v>301</v>
      </c>
      <c r="G44" s="2" t="s">
        <v>63</v>
      </c>
      <c r="H44" s="2" t="s">
        <v>141</v>
      </c>
      <c r="I44" s="1" t="s">
        <v>55</v>
      </c>
      <c r="J44" s="1" t="s">
        <v>45</v>
      </c>
      <c r="K44" s="1" t="s">
        <v>35</v>
      </c>
      <c r="L44" s="1" t="s">
        <v>46</v>
      </c>
      <c r="M44" s="2" t="s">
        <v>302</v>
      </c>
    </row>
    <row r="45">
      <c r="A45" s="1" t="s">
        <v>303</v>
      </c>
      <c r="B45" s="1" t="s">
        <v>304</v>
      </c>
      <c r="C45" s="2" t="s">
        <v>305</v>
      </c>
      <c r="D45" s="2" t="s">
        <v>306</v>
      </c>
      <c r="E45" s="1" t="s">
        <v>52</v>
      </c>
      <c r="F45" s="2" t="s">
        <v>307</v>
      </c>
      <c r="G45" s="2" t="s">
        <v>32</v>
      </c>
      <c r="H45" s="2" t="s">
        <v>194</v>
      </c>
      <c r="I45" s="1" t="s">
        <v>55</v>
      </c>
      <c r="J45" s="1" t="s">
        <v>45</v>
      </c>
      <c r="K45" s="1" t="s">
        <v>35</v>
      </c>
      <c r="L45" s="1" t="s">
        <v>36</v>
      </c>
      <c r="M45" s="2" t="s">
        <v>308</v>
      </c>
    </row>
    <row r="46">
      <c r="A46" s="1" t="s">
        <v>309</v>
      </c>
      <c r="B46" s="1" t="s">
        <v>310</v>
      </c>
      <c r="C46" s="2" t="s">
        <v>311</v>
      </c>
      <c r="D46" s="2" t="s">
        <v>312</v>
      </c>
      <c r="E46" s="1" t="s">
        <v>52</v>
      </c>
      <c r="F46" s="2" t="s">
        <v>313</v>
      </c>
      <c r="G46" s="2" t="s">
        <v>44</v>
      </c>
      <c r="H46" s="2" t="s">
        <v>194</v>
      </c>
      <c r="I46" s="1" t="s">
        <v>55</v>
      </c>
      <c r="J46" s="1" t="s">
        <v>73</v>
      </c>
      <c r="K46" s="1" t="s">
        <v>88</v>
      </c>
      <c r="L46" s="1" t="s">
        <v>24</v>
      </c>
      <c r="M46" s="2" t="s">
        <v>314</v>
      </c>
    </row>
    <row r="47">
      <c r="A47" s="1" t="s">
        <v>315</v>
      </c>
      <c r="B47" s="1" t="s">
        <v>316</v>
      </c>
      <c r="C47" s="2" t="s">
        <v>317</v>
      </c>
      <c r="D47" s="2" t="s">
        <v>318</v>
      </c>
      <c r="E47" s="1" t="s">
        <v>17</v>
      </c>
      <c r="F47" s="2" t="s">
        <v>319</v>
      </c>
      <c r="G47" s="2" t="s">
        <v>63</v>
      </c>
      <c r="H47" s="2" t="s">
        <v>128</v>
      </c>
      <c r="I47" s="1" t="s">
        <v>65</v>
      </c>
      <c r="J47" s="1" t="s">
        <v>56</v>
      </c>
      <c r="K47" s="1" t="s">
        <v>88</v>
      </c>
      <c r="L47" s="1" t="s">
        <v>36</v>
      </c>
      <c r="M47" s="2" t="s">
        <v>320</v>
      </c>
    </row>
    <row r="48">
      <c r="A48" s="1" t="s">
        <v>321</v>
      </c>
      <c r="B48" s="1" t="s">
        <v>322</v>
      </c>
      <c r="C48" s="2" t="s">
        <v>323</v>
      </c>
      <c r="D48" s="2" t="s">
        <v>324</v>
      </c>
      <c r="E48" s="1" t="s">
        <v>200</v>
      </c>
      <c r="F48" s="2" t="s">
        <v>325</v>
      </c>
      <c r="G48" s="2" t="s">
        <v>63</v>
      </c>
      <c r="H48" s="2" t="s">
        <v>326</v>
      </c>
      <c r="I48" s="1" t="s">
        <v>55</v>
      </c>
      <c r="J48" s="1" t="s">
        <v>73</v>
      </c>
      <c r="K48" s="1" t="s">
        <v>88</v>
      </c>
      <c r="L48" s="1" t="s">
        <v>46</v>
      </c>
      <c r="M48" s="2" t="s">
        <v>327</v>
      </c>
    </row>
    <row r="49">
      <c r="A49" s="1" t="s">
        <v>328</v>
      </c>
      <c r="B49" s="1" t="s">
        <v>329</v>
      </c>
      <c r="C49" s="2" t="s">
        <v>330</v>
      </c>
      <c r="D49" s="2" t="s">
        <v>331</v>
      </c>
      <c r="E49" s="1" t="s">
        <v>42</v>
      </c>
      <c r="F49" s="2" t="s">
        <v>332</v>
      </c>
      <c r="G49" s="2" t="s">
        <v>19</v>
      </c>
      <c r="H49" s="2" t="s">
        <v>141</v>
      </c>
      <c r="I49" s="1" t="s">
        <v>65</v>
      </c>
      <c r="J49" s="1" t="s">
        <v>45</v>
      </c>
      <c r="K49" s="1" t="s">
        <v>81</v>
      </c>
      <c r="L49" s="1" t="s">
        <v>46</v>
      </c>
      <c r="M49" s="2" t="s">
        <v>333</v>
      </c>
    </row>
    <row r="50">
      <c r="A50" s="1" t="s">
        <v>334</v>
      </c>
      <c r="B50" s="1" t="s">
        <v>335</v>
      </c>
      <c r="C50" s="2" t="s">
        <v>336</v>
      </c>
      <c r="D50" s="2" t="s">
        <v>337</v>
      </c>
      <c r="E50" s="1" t="s">
        <v>52</v>
      </c>
      <c r="F50" s="2" t="s">
        <v>338</v>
      </c>
      <c r="G50" s="2" t="s">
        <v>32</v>
      </c>
      <c r="H50" s="2" t="s">
        <v>214</v>
      </c>
      <c r="I50" s="1" t="s">
        <v>21</v>
      </c>
      <c r="J50" s="1" t="s">
        <v>22</v>
      </c>
      <c r="K50" s="1" t="s">
        <v>121</v>
      </c>
      <c r="L50" s="1" t="s">
        <v>36</v>
      </c>
      <c r="M50" s="2" t="s">
        <v>339</v>
      </c>
    </row>
    <row r="51">
      <c r="A51" s="1" t="s">
        <v>340</v>
      </c>
      <c r="B51" s="1" t="s">
        <v>341</v>
      </c>
      <c r="C51" s="2" t="s">
        <v>342</v>
      </c>
      <c r="D51" s="2" t="s">
        <v>343</v>
      </c>
      <c r="E51" s="1" t="s">
        <v>17</v>
      </c>
      <c r="F51" s="2" t="s">
        <v>344</v>
      </c>
      <c r="G51" s="2" t="s">
        <v>44</v>
      </c>
      <c r="H51" s="2" t="s">
        <v>345</v>
      </c>
      <c r="I51" s="1" t="s">
        <v>55</v>
      </c>
      <c r="J51" s="1" t="s">
        <v>45</v>
      </c>
      <c r="K51" s="1" t="s">
        <v>23</v>
      </c>
      <c r="L51" s="1" t="s">
        <v>46</v>
      </c>
      <c r="M51" s="2" t="s">
        <v>346</v>
      </c>
    </row>
    <row r="52">
      <c r="A52" s="1" t="s">
        <v>347</v>
      </c>
      <c r="B52" s="1" t="s">
        <v>348</v>
      </c>
      <c r="C52" s="2" t="s">
        <v>349</v>
      </c>
      <c r="D52" s="2" t="s">
        <v>350</v>
      </c>
      <c r="E52" s="1" t="s">
        <v>17</v>
      </c>
      <c r="F52" s="2" t="s">
        <v>351</v>
      </c>
      <c r="G52" s="2" t="s">
        <v>19</v>
      </c>
      <c r="H52" s="2" t="s">
        <v>80</v>
      </c>
      <c r="I52" s="1" t="s">
        <v>65</v>
      </c>
      <c r="J52" s="1" t="s">
        <v>73</v>
      </c>
      <c r="K52" s="1" t="s">
        <v>81</v>
      </c>
      <c r="L52" s="1" t="s">
        <v>24</v>
      </c>
      <c r="M52" s="2" t="s">
        <v>352</v>
      </c>
    </row>
    <row r="53">
      <c r="A53" s="1" t="s">
        <v>353</v>
      </c>
      <c r="B53" s="1" t="s">
        <v>354</v>
      </c>
      <c r="C53" s="2" t="s">
        <v>355</v>
      </c>
      <c r="D53" s="2" t="s">
        <v>356</v>
      </c>
      <c r="E53" s="1" t="s">
        <v>42</v>
      </c>
      <c r="F53" s="2" t="s">
        <v>357</v>
      </c>
      <c r="G53" s="2" t="s">
        <v>63</v>
      </c>
      <c r="H53" s="2" t="s">
        <v>141</v>
      </c>
      <c r="I53" s="1" t="s">
        <v>21</v>
      </c>
      <c r="J53" s="1" t="s">
        <v>45</v>
      </c>
      <c r="K53" s="1" t="s">
        <v>35</v>
      </c>
      <c r="L53" s="1" t="s">
        <v>46</v>
      </c>
      <c r="M53" s="2" t="s">
        <v>358</v>
      </c>
    </row>
    <row r="54">
      <c r="A54" s="1" t="s">
        <v>359</v>
      </c>
      <c r="B54" s="1" t="s">
        <v>360</v>
      </c>
      <c r="C54" s="2" t="s">
        <v>361</v>
      </c>
      <c r="D54" s="2" t="s">
        <v>362</v>
      </c>
      <c r="E54" s="1" t="s">
        <v>200</v>
      </c>
      <c r="F54" s="2" t="s">
        <v>363</v>
      </c>
      <c r="G54" s="2" t="s">
        <v>44</v>
      </c>
      <c r="H54" s="2" t="s">
        <v>54</v>
      </c>
      <c r="I54" s="1" t="s">
        <v>65</v>
      </c>
      <c r="J54" s="1" t="s">
        <v>56</v>
      </c>
      <c r="K54" s="1" t="s">
        <v>35</v>
      </c>
      <c r="L54" s="1" t="s">
        <v>24</v>
      </c>
      <c r="M54" s="2" t="s">
        <v>364</v>
      </c>
    </row>
    <row r="55">
      <c r="A55" s="1" t="s">
        <v>365</v>
      </c>
      <c r="B55" s="1" t="s">
        <v>366</v>
      </c>
      <c r="C55" s="2" t="s">
        <v>361</v>
      </c>
      <c r="D55" s="2" t="s">
        <v>367</v>
      </c>
      <c r="E55" s="1" t="s">
        <v>52</v>
      </c>
      <c r="F55" s="2" t="s">
        <v>368</v>
      </c>
      <c r="G55" s="2" t="s">
        <v>44</v>
      </c>
      <c r="H55" s="2" t="s">
        <v>114</v>
      </c>
      <c r="I55" s="1" t="s">
        <v>21</v>
      </c>
      <c r="J55" s="1" t="s">
        <v>73</v>
      </c>
      <c r="K55" s="1" t="s">
        <v>23</v>
      </c>
      <c r="L55" s="1" t="s">
        <v>46</v>
      </c>
      <c r="M55" s="2" t="s">
        <v>369</v>
      </c>
    </row>
    <row r="56">
      <c r="A56" s="1" t="s">
        <v>370</v>
      </c>
      <c r="B56" s="1" t="s">
        <v>371</v>
      </c>
      <c r="C56" s="2" t="s">
        <v>372</v>
      </c>
      <c r="D56" s="2" t="s">
        <v>373</v>
      </c>
      <c r="E56" s="1" t="s">
        <v>42</v>
      </c>
      <c r="F56" s="2" t="s">
        <v>374</v>
      </c>
      <c r="G56" s="2" t="s">
        <v>32</v>
      </c>
      <c r="H56" s="2" t="s">
        <v>72</v>
      </c>
      <c r="I56" s="1" t="s">
        <v>55</v>
      </c>
      <c r="J56" s="1" t="s">
        <v>73</v>
      </c>
      <c r="K56" s="1" t="s">
        <v>23</v>
      </c>
      <c r="L56" s="1" t="s">
        <v>46</v>
      </c>
      <c r="M56" s="2" t="s">
        <v>375</v>
      </c>
    </row>
    <row r="57">
      <c r="A57" s="1" t="s">
        <v>376</v>
      </c>
      <c r="B57" s="1" t="s">
        <v>377</v>
      </c>
      <c r="C57" s="2" t="s">
        <v>378</v>
      </c>
      <c r="D57" s="2" t="s">
        <v>379</v>
      </c>
      <c r="E57" s="1" t="s">
        <v>17</v>
      </c>
      <c r="F57" s="2" t="s">
        <v>380</v>
      </c>
      <c r="G57" s="2" t="s">
        <v>63</v>
      </c>
      <c r="H57" s="2" t="s">
        <v>326</v>
      </c>
      <c r="I57" s="1" t="s">
        <v>34</v>
      </c>
      <c r="J57" s="1" t="s">
        <v>45</v>
      </c>
      <c r="K57" s="1" t="s">
        <v>88</v>
      </c>
      <c r="L57" s="1" t="s">
        <v>36</v>
      </c>
      <c r="M57" s="2" t="s">
        <v>381</v>
      </c>
    </row>
    <row r="58">
      <c r="A58" s="1" t="s">
        <v>382</v>
      </c>
      <c r="B58" s="1" t="s">
        <v>383</v>
      </c>
      <c r="C58" s="2" t="s">
        <v>323</v>
      </c>
      <c r="D58" s="2" t="s">
        <v>384</v>
      </c>
      <c r="E58" s="1" t="s">
        <v>200</v>
      </c>
      <c r="F58" s="2" t="s">
        <v>385</v>
      </c>
      <c r="G58" s="2" t="s">
        <v>19</v>
      </c>
      <c r="H58" s="2" t="s">
        <v>72</v>
      </c>
      <c r="I58" s="1" t="s">
        <v>21</v>
      </c>
      <c r="J58" s="1" t="s">
        <v>73</v>
      </c>
      <c r="K58" s="1" t="s">
        <v>81</v>
      </c>
      <c r="L58" s="1" t="s">
        <v>46</v>
      </c>
      <c r="M58" s="2" t="s">
        <v>386</v>
      </c>
    </row>
    <row r="59">
      <c r="A59" s="1" t="s">
        <v>387</v>
      </c>
      <c r="B59" s="1" t="s">
        <v>388</v>
      </c>
      <c r="C59" s="2" t="s">
        <v>389</v>
      </c>
      <c r="D59" s="2" t="s">
        <v>390</v>
      </c>
      <c r="E59" s="1" t="s">
        <v>42</v>
      </c>
      <c r="F59" s="2" t="s">
        <v>284</v>
      </c>
      <c r="G59" s="2" t="s">
        <v>44</v>
      </c>
      <c r="H59" s="2" t="s">
        <v>141</v>
      </c>
      <c r="I59" s="1" t="s">
        <v>65</v>
      </c>
      <c r="J59" s="1" t="s">
        <v>22</v>
      </c>
      <c r="K59" s="1" t="s">
        <v>121</v>
      </c>
      <c r="L59" s="1" t="s">
        <v>24</v>
      </c>
      <c r="M59" s="2" t="s">
        <v>391</v>
      </c>
    </row>
    <row r="60">
      <c r="A60" s="1" t="s">
        <v>392</v>
      </c>
      <c r="B60" s="1" t="s">
        <v>393</v>
      </c>
      <c r="C60" s="2" t="s">
        <v>236</v>
      </c>
      <c r="D60" s="2" t="s">
        <v>394</v>
      </c>
      <c r="E60" s="1" t="s">
        <v>30</v>
      </c>
      <c r="F60" s="2" t="s">
        <v>395</v>
      </c>
      <c r="G60" s="2" t="s">
        <v>63</v>
      </c>
      <c r="H60" s="2" t="s">
        <v>214</v>
      </c>
      <c r="I60" s="1" t="s">
        <v>21</v>
      </c>
      <c r="J60" s="1" t="s">
        <v>45</v>
      </c>
      <c r="K60" s="1" t="s">
        <v>88</v>
      </c>
      <c r="L60" s="1" t="s">
        <v>24</v>
      </c>
      <c r="M60" s="2" t="s">
        <v>396</v>
      </c>
    </row>
    <row r="61">
      <c r="A61" s="1" t="s">
        <v>397</v>
      </c>
      <c r="B61" s="1" t="s">
        <v>398</v>
      </c>
      <c r="C61" s="2" t="s">
        <v>399</v>
      </c>
      <c r="D61" s="2" t="s">
        <v>400</v>
      </c>
      <c r="E61" s="1" t="s">
        <v>42</v>
      </c>
      <c r="F61" s="2" t="s">
        <v>401</v>
      </c>
      <c r="G61" s="2" t="s">
        <v>32</v>
      </c>
      <c r="H61" s="2" t="s">
        <v>194</v>
      </c>
      <c r="I61" s="1" t="s">
        <v>34</v>
      </c>
      <c r="J61" s="1" t="s">
        <v>73</v>
      </c>
      <c r="K61" s="1" t="s">
        <v>35</v>
      </c>
      <c r="L61" s="1" t="s">
        <v>46</v>
      </c>
      <c r="M61" s="2" t="s">
        <v>402</v>
      </c>
    </row>
    <row r="62">
      <c r="A62" s="1" t="s">
        <v>403</v>
      </c>
      <c r="B62" s="1" t="s">
        <v>404</v>
      </c>
      <c r="C62" s="2" t="s">
        <v>405</v>
      </c>
      <c r="D62" s="2" t="s">
        <v>406</v>
      </c>
      <c r="E62" s="1" t="s">
        <v>17</v>
      </c>
      <c r="F62" s="2" t="s">
        <v>407</v>
      </c>
      <c r="G62" s="2" t="s">
        <v>63</v>
      </c>
      <c r="H62" s="2" t="s">
        <v>141</v>
      </c>
      <c r="I62" s="1" t="s">
        <v>65</v>
      </c>
      <c r="J62" s="1" t="s">
        <v>45</v>
      </c>
      <c r="K62" s="1" t="s">
        <v>35</v>
      </c>
      <c r="L62" s="1" t="s">
        <v>24</v>
      </c>
      <c r="M62" s="2" t="s">
        <v>408</v>
      </c>
    </row>
    <row r="63">
      <c r="A63" s="1" t="s">
        <v>409</v>
      </c>
      <c r="B63" s="1" t="s">
        <v>410</v>
      </c>
      <c r="C63" s="2" t="s">
        <v>311</v>
      </c>
      <c r="D63" s="2" t="s">
        <v>411</v>
      </c>
      <c r="E63" s="1" t="s">
        <v>42</v>
      </c>
      <c r="F63" s="2" t="s">
        <v>412</v>
      </c>
      <c r="G63" s="2" t="s">
        <v>32</v>
      </c>
      <c r="H63" s="2" t="s">
        <v>214</v>
      </c>
      <c r="I63" s="1" t="s">
        <v>65</v>
      </c>
      <c r="J63" s="1" t="s">
        <v>22</v>
      </c>
      <c r="K63" s="1" t="s">
        <v>35</v>
      </c>
      <c r="L63" s="1" t="s">
        <v>24</v>
      </c>
      <c r="M63" s="2" t="s">
        <v>413</v>
      </c>
    </row>
    <row r="64">
      <c r="A64" s="1" t="s">
        <v>414</v>
      </c>
      <c r="B64" s="1" t="s">
        <v>415</v>
      </c>
      <c r="C64" s="2" t="s">
        <v>416</v>
      </c>
      <c r="D64" s="2" t="s">
        <v>417</v>
      </c>
      <c r="E64" s="1" t="s">
        <v>17</v>
      </c>
      <c r="F64" s="2" t="s">
        <v>418</v>
      </c>
      <c r="G64" s="2" t="s">
        <v>63</v>
      </c>
      <c r="H64" s="2" t="s">
        <v>80</v>
      </c>
      <c r="I64" s="1" t="s">
        <v>65</v>
      </c>
      <c r="J64" s="1" t="s">
        <v>73</v>
      </c>
      <c r="K64" s="1" t="s">
        <v>35</v>
      </c>
      <c r="L64" s="1" t="s">
        <v>36</v>
      </c>
      <c r="M64" s="2" t="s">
        <v>419</v>
      </c>
    </row>
    <row r="65">
      <c r="A65" s="1" t="s">
        <v>420</v>
      </c>
      <c r="B65" s="1" t="s">
        <v>421</v>
      </c>
      <c r="C65" s="2" t="s">
        <v>422</v>
      </c>
      <c r="D65" s="2" t="s">
        <v>423</v>
      </c>
      <c r="E65" s="1" t="s">
        <v>30</v>
      </c>
      <c r="F65" s="2" t="s">
        <v>424</v>
      </c>
      <c r="G65" s="2" t="s">
        <v>19</v>
      </c>
      <c r="H65" s="2" t="s">
        <v>114</v>
      </c>
      <c r="I65" s="1" t="s">
        <v>21</v>
      </c>
      <c r="J65" s="1" t="s">
        <v>22</v>
      </c>
      <c r="K65" s="1" t="s">
        <v>81</v>
      </c>
      <c r="L65" s="1" t="s">
        <v>24</v>
      </c>
      <c r="M65" s="2" t="s">
        <v>425</v>
      </c>
    </row>
    <row r="66">
      <c r="A66" s="1" t="s">
        <v>426</v>
      </c>
      <c r="B66" s="1" t="s">
        <v>427</v>
      </c>
      <c r="C66" s="2" t="s">
        <v>428</v>
      </c>
      <c r="D66" s="2" t="s">
        <v>429</v>
      </c>
      <c r="E66" s="1" t="s">
        <v>42</v>
      </c>
      <c r="F66" s="2" t="s">
        <v>430</v>
      </c>
      <c r="G66" s="2" t="s">
        <v>63</v>
      </c>
      <c r="H66" s="2" t="s">
        <v>54</v>
      </c>
      <c r="I66" s="1" t="s">
        <v>21</v>
      </c>
      <c r="J66" s="1" t="s">
        <v>56</v>
      </c>
      <c r="K66" s="1" t="s">
        <v>23</v>
      </c>
      <c r="L66" s="1" t="s">
        <v>36</v>
      </c>
      <c r="M66" s="2" t="s">
        <v>431</v>
      </c>
    </row>
    <row r="67">
      <c r="A67" s="1" t="s">
        <v>432</v>
      </c>
      <c r="B67" s="1" t="s">
        <v>433</v>
      </c>
      <c r="C67" s="2" t="s">
        <v>434</v>
      </c>
      <c r="D67" s="2" t="s">
        <v>435</v>
      </c>
      <c r="E67" s="1" t="s">
        <v>42</v>
      </c>
      <c r="F67" s="2" t="s">
        <v>436</v>
      </c>
      <c r="G67" s="2" t="s">
        <v>19</v>
      </c>
      <c r="H67" s="2" t="s">
        <v>72</v>
      </c>
      <c r="I67" s="1" t="s">
        <v>65</v>
      </c>
      <c r="J67" s="1" t="s">
        <v>45</v>
      </c>
      <c r="K67" s="1" t="s">
        <v>35</v>
      </c>
      <c r="L67" s="1" t="s">
        <v>46</v>
      </c>
      <c r="M67" s="2" t="s">
        <v>437</v>
      </c>
    </row>
    <row r="68">
      <c r="A68" s="1" t="s">
        <v>438</v>
      </c>
      <c r="B68" s="1" t="s">
        <v>439</v>
      </c>
      <c r="C68" s="2" t="s">
        <v>440</v>
      </c>
      <c r="D68" s="2" t="s">
        <v>441</v>
      </c>
      <c r="E68" s="1" t="s">
        <v>42</v>
      </c>
      <c r="F68" s="2" t="s">
        <v>442</v>
      </c>
      <c r="G68" s="2" t="s">
        <v>32</v>
      </c>
      <c r="H68" s="2" t="s">
        <v>326</v>
      </c>
      <c r="I68" s="1" t="s">
        <v>34</v>
      </c>
      <c r="J68" s="1" t="s">
        <v>56</v>
      </c>
      <c r="K68" s="1" t="s">
        <v>81</v>
      </c>
      <c r="L68" s="1" t="s">
        <v>36</v>
      </c>
      <c r="M68" s="2" t="s">
        <v>443</v>
      </c>
    </row>
    <row r="69">
      <c r="A69" s="1" t="s">
        <v>444</v>
      </c>
      <c r="B69" s="1" t="s">
        <v>445</v>
      </c>
      <c r="C69" s="2" t="s">
        <v>446</v>
      </c>
      <c r="D69" s="2" t="s">
        <v>447</v>
      </c>
      <c r="E69" s="1" t="s">
        <v>52</v>
      </c>
      <c r="F69" s="2" t="s">
        <v>448</v>
      </c>
      <c r="G69" s="2" t="s">
        <v>44</v>
      </c>
      <c r="H69" s="2" t="s">
        <v>80</v>
      </c>
      <c r="I69" s="1" t="s">
        <v>34</v>
      </c>
      <c r="J69" s="1" t="s">
        <v>73</v>
      </c>
      <c r="K69" s="1" t="s">
        <v>35</v>
      </c>
      <c r="L69" s="1" t="s">
        <v>36</v>
      </c>
      <c r="M69" s="2" t="s">
        <v>449</v>
      </c>
    </row>
    <row r="70">
      <c r="A70" s="1" t="s">
        <v>450</v>
      </c>
      <c r="B70" s="1" t="s">
        <v>451</v>
      </c>
      <c r="C70" s="2" t="s">
        <v>452</v>
      </c>
      <c r="D70" s="2" t="s">
        <v>453</v>
      </c>
      <c r="E70" s="1" t="s">
        <v>42</v>
      </c>
      <c r="F70" s="2" t="s">
        <v>454</v>
      </c>
      <c r="G70" s="2" t="s">
        <v>44</v>
      </c>
      <c r="H70" s="2" t="s">
        <v>80</v>
      </c>
      <c r="I70" s="1" t="s">
        <v>65</v>
      </c>
      <c r="J70" s="1" t="s">
        <v>56</v>
      </c>
      <c r="K70" s="1" t="s">
        <v>88</v>
      </c>
      <c r="L70" s="1" t="s">
        <v>24</v>
      </c>
      <c r="M70" s="2" t="s">
        <v>455</v>
      </c>
    </row>
    <row r="71">
      <c r="A71" s="1" t="s">
        <v>456</v>
      </c>
      <c r="B71" s="1" t="s">
        <v>457</v>
      </c>
      <c r="C71" s="2" t="s">
        <v>458</v>
      </c>
      <c r="D71" s="2" t="s">
        <v>459</v>
      </c>
      <c r="E71" s="1" t="s">
        <v>52</v>
      </c>
      <c r="F71" s="2" t="s">
        <v>460</v>
      </c>
      <c r="G71" s="2" t="s">
        <v>19</v>
      </c>
      <c r="H71" s="2" t="s">
        <v>95</v>
      </c>
      <c r="I71" s="1" t="s">
        <v>65</v>
      </c>
      <c r="J71" s="1" t="s">
        <v>45</v>
      </c>
      <c r="K71" s="1" t="s">
        <v>23</v>
      </c>
      <c r="L71" s="1" t="s">
        <v>46</v>
      </c>
      <c r="M71" s="2" t="s">
        <v>461</v>
      </c>
    </row>
    <row r="72">
      <c r="A72" s="1" t="s">
        <v>462</v>
      </c>
      <c r="B72" s="1" t="s">
        <v>463</v>
      </c>
      <c r="C72" s="2" t="s">
        <v>464</v>
      </c>
      <c r="D72" s="2" t="s">
        <v>465</v>
      </c>
      <c r="E72" s="1" t="s">
        <v>200</v>
      </c>
      <c r="F72" s="2" t="s">
        <v>466</v>
      </c>
      <c r="G72" s="2" t="s">
        <v>63</v>
      </c>
      <c r="H72" s="2" t="s">
        <v>54</v>
      </c>
      <c r="I72" s="1" t="s">
        <v>21</v>
      </c>
      <c r="J72" s="1" t="s">
        <v>45</v>
      </c>
      <c r="K72" s="1" t="s">
        <v>88</v>
      </c>
      <c r="L72" s="1" t="s">
        <v>24</v>
      </c>
      <c r="M72" s="2" t="s">
        <v>467</v>
      </c>
    </row>
    <row r="73">
      <c r="A73" s="1" t="s">
        <v>468</v>
      </c>
      <c r="B73" s="1" t="s">
        <v>469</v>
      </c>
      <c r="C73" s="2" t="s">
        <v>248</v>
      </c>
      <c r="D73" s="2" t="s">
        <v>470</v>
      </c>
      <c r="E73" s="1" t="s">
        <v>200</v>
      </c>
      <c r="F73" s="2" t="s">
        <v>471</v>
      </c>
      <c r="G73" s="2" t="s">
        <v>63</v>
      </c>
      <c r="H73" s="2" t="s">
        <v>345</v>
      </c>
      <c r="I73" s="1" t="s">
        <v>34</v>
      </c>
      <c r="J73" s="1" t="s">
        <v>22</v>
      </c>
      <c r="K73" s="1" t="s">
        <v>88</v>
      </c>
      <c r="L73" s="1" t="s">
        <v>46</v>
      </c>
      <c r="M73" s="2" t="s">
        <v>472</v>
      </c>
    </row>
    <row r="74">
      <c r="A74" s="1" t="s">
        <v>473</v>
      </c>
      <c r="B74" s="1" t="s">
        <v>474</v>
      </c>
      <c r="C74" s="2" t="s">
        <v>372</v>
      </c>
      <c r="D74" s="2" t="s">
        <v>475</v>
      </c>
      <c r="E74" s="1" t="s">
        <v>30</v>
      </c>
      <c r="F74" s="2" t="s">
        <v>476</v>
      </c>
      <c r="G74" s="2" t="s">
        <v>63</v>
      </c>
      <c r="H74" s="2" t="s">
        <v>95</v>
      </c>
      <c r="I74" s="1" t="s">
        <v>55</v>
      </c>
      <c r="J74" s="1" t="s">
        <v>22</v>
      </c>
      <c r="K74" s="1" t="s">
        <v>35</v>
      </c>
      <c r="L74" s="1" t="s">
        <v>36</v>
      </c>
      <c r="M74" s="2" t="s">
        <v>477</v>
      </c>
    </row>
    <row r="75">
      <c r="A75" s="1" t="s">
        <v>478</v>
      </c>
      <c r="B75" s="1" t="s">
        <v>479</v>
      </c>
      <c r="C75" s="2" t="s">
        <v>480</v>
      </c>
      <c r="D75" s="2" t="s">
        <v>481</v>
      </c>
      <c r="E75" s="1" t="s">
        <v>30</v>
      </c>
      <c r="F75" s="2" t="s">
        <v>482</v>
      </c>
      <c r="G75" s="2" t="s">
        <v>44</v>
      </c>
      <c r="H75" s="2" t="s">
        <v>483</v>
      </c>
      <c r="I75" s="1" t="s">
        <v>21</v>
      </c>
      <c r="J75" s="1" t="s">
        <v>45</v>
      </c>
      <c r="K75" s="1" t="s">
        <v>23</v>
      </c>
      <c r="L75" s="1" t="s">
        <v>24</v>
      </c>
      <c r="M75" s="2" t="s">
        <v>484</v>
      </c>
    </row>
    <row r="76">
      <c r="A76" s="1" t="s">
        <v>485</v>
      </c>
      <c r="B76" s="1" t="s">
        <v>486</v>
      </c>
      <c r="C76" s="2" t="s">
        <v>487</v>
      </c>
      <c r="D76" s="2" t="s">
        <v>488</v>
      </c>
      <c r="E76" s="1" t="s">
        <v>42</v>
      </c>
      <c r="F76" s="2" t="s">
        <v>489</v>
      </c>
      <c r="G76" s="2" t="s">
        <v>32</v>
      </c>
      <c r="H76" s="2" t="s">
        <v>64</v>
      </c>
      <c r="I76" s="1" t="s">
        <v>55</v>
      </c>
      <c r="J76" s="1" t="s">
        <v>56</v>
      </c>
      <c r="K76" s="1" t="s">
        <v>88</v>
      </c>
      <c r="L76" s="1" t="s">
        <v>24</v>
      </c>
      <c r="M76" s="2" t="s">
        <v>490</v>
      </c>
    </row>
    <row r="77">
      <c r="A77" s="1" t="s">
        <v>491</v>
      </c>
      <c r="B77" s="1" t="s">
        <v>492</v>
      </c>
      <c r="C77" s="2" t="s">
        <v>493</v>
      </c>
      <c r="D77" s="2" t="s">
        <v>494</v>
      </c>
      <c r="E77" s="1" t="s">
        <v>200</v>
      </c>
      <c r="F77" s="2" t="s">
        <v>495</v>
      </c>
      <c r="G77" s="2" t="s">
        <v>32</v>
      </c>
      <c r="H77" s="2" t="s">
        <v>128</v>
      </c>
      <c r="I77" s="1" t="s">
        <v>55</v>
      </c>
      <c r="J77" s="1" t="s">
        <v>22</v>
      </c>
      <c r="K77" s="1" t="s">
        <v>23</v>
      </c>
      <c r="L77" s="1" t="s">
        <v>24</v>
      </c>
      <c r="M77" s="2" t="s">
        <v>496</v>
      </c>
    </row>
    <row r="78">
      <c r="A78" s="1" t="s">
        <v>497</v>
      </c>
      <c r="B78" s="1" t="s">
        <v>498</v>
      </c>
      <c r="C78" s="2" t="s">
        <v>499</v>
      </c>
      <c r="D78" s="2" t="s">
        <v>500</v>
      </c>
      <c r="E78" s="1" t="s">
        <v>30</v>
      </c>
      <c r="F78" s="2" t="s">
        <v>501</v>
      </c>
      <c r="G78" s="2" t="s">
        <v>32</v>
      </c>
      <c r="H78" s="2" t="s">
        <v>326</v>
      </c>
      <c r="I78" s="1" t="s">
        <v>21</v>
      </c>
      <c r="J78" s="1" t="s">
        <v>73</v>
      </c>
      <c r="K78" s="1" t="s">
        <v>81</v>
      </c>
      <c r="L78" s="1" t="s">
        <v>36</v>
      </c>
      <c r="M78" s="2" t="s">
        <v>502</v>
      </c>
    </row>
    <row r="79">
      <c r="A79" s="1" t="s">
        <v>503</v>
      </c>
      <c r="B79" s="1" t="s">
        <v>504</v>
      </c>
      <c r="C79" s="2" t="s">
        <v>505</v>
      </c>
      <c r="D79" s="2" t="s">
        <v>506</v>
      </c>
      <c r="E79" s="1" t="s">
        <v>17</v>
      </c>
      <c r="F79" s="2" t="s">
        <v>507</v>
      </c>
      <c r="G79" s="2" t="s">
        <v>44</v>
      </c>
      <c r="H79" s="2" t="s">
        <v>326</v>
      </c>
      <c r="I79" s="1" t="s">
        <v>55</v>
      </c>
      <c r="J79" s="1" t="s">
        <v>56</v>
      </c>
      <c r="K79" s="1" t="s">
        <v>35</v>
      </c>
      <c r="L79" s="1" t="s">
        <v>36</v>
      </c>
      <c r="M79" s="2" t="s">
        <v>508</v>
      </c>
    </row>
    <row r="80">
      <c r="A80" s="1" t="s">
        <v>509</v>
      </c>
      <c r="B80" s="1" t="s">
        <v>510</v>
      </c>
      <c r="C80" s="2" t="s">
        <v>28</v>
      </c>
      <c r="D80" s="2" t="s">
        <v>511</v>
      </c>
      <c r="E80" s="1" t="s">
        <v>17</v>
      </c>
      <c r="F80" s="2" t="s">
        <v>512</v>
      </c>
      <c r="G80" s="2" t="s">
        <v>32</v>
      </c>
      <c r="H80" s="2" t="s">
        <v>64</v>
      </c>
      <c r="I80" s="1" t="s">
        <v>34</v>
      </c>
      <c r="J80" s="1" t="s">
        <v>56</v>
      </c>
      <c r="K80" s="1" t="s">
        <v>88</v>
      </c>
      <c r="L80" s="1" t="s">
        <v>46</v>
      </c>
      <c r="M80" s="2" t="s">
        <v>513</v>
      </c>
    </row>
    <row r="81">
      <c r="A81" s="1" t="s">
        <v>514</v>
      </c>
      <c r="B81" s="1" t="s">
        <v>515</v>
      </c>
      <c r="C81" s="2" t="s">
        <v>299</v>
      </c>
      <c r="D81" s="2" t="s">
        <v>516</v>
      </c>
      <c r="E81" s="1" t="s">
        <v>17</v>
      </c>
      <c r="F81" s="2" t="s">
        <v>517</v>
      </c>
      <c r="G81" s="2" t="s">
        <v>19</v>
      </c>
      <c r="H81" s="2" t="s">
        <v>518</v>
      </c>
      <c r="I81" s="1" t="s">
        <v>55</v>
      </c>
      <c r="J81" s="1" t="s">
        <v>56</v>
      </c>
      <c r="K81" s="1" t="s">
        <v>35</v>
      </c>
      <c r="L81" s="1" t="s">
        <v>46</v>
      </c>
      <c r="M81" s="2" t="s">
        <v>519</v>
      </c>
    </row>
    <row r="82">
      <c r="A82" s="1" t="s">
        <v>520</v>
      </c>
      <c r="B82" s="1" t="s">
        <v>521</v>
      </c>
      <c r="C82" s="2" t="s">
        <v>522</v>
      </c>
      <c r="D82" s="2" t="s">
        <v>523</v>
      </c>
      <c r="E82" s="1" t="s">
        <v>17</v>
      </c>
      <c r="F82" s="2" t="s">
        <v>524</v>
      </c>
      <c r="G82" s="2" t="s">
        <v>19</v>
      </c>
      <c r="H82" s="2" t="s">
        <v>20</v>
      </c>
      <c r="I82" s="1" t="s">
        <v>55</v>
      </c>
      <c r="J82" s="1" t="s">
        <v>45</v>
      </c>
      <c r="K82" s="1" t="s">
        <v>88</v>
      </c>
      <c r="L82" s="1" t="s">
        <v>24</v>
      </c>
      <c r="M82" s="2" t="s">
        <v>525</v>
      </c>
    </row>
    <row r="83">
      <c r="A83" s="1" t="s">
        <v>526</v>
      </c>
      <c r="B83" s="1" t="s">
        <v>527</v>
      </c>
      <c r="C83" s="2" t="s">
        <v>528</v>
      </c>
      <c r="D83" s="2" t="s">
        <v>529</v>
      </c>
      <c r="E83" s="1" t="s">
        <v>17</v>
      </c>
      <c r="F83" s="2" t="s">
        <v>530</v>
      </c>
      <c r="G83" s="2" t="s">
        <v>44</v>
      </c>
      <c r="H83" s="2" t="s">
        <v>326</v>
      </c>
      <c r="I83" s="1" t="s">
        <v>65</v>
      </c>
      <c r="J83" s="1" t="s">
        <v>56</v>
      </c>
      <c r="K83" s="1" t="s">
        <v>121</v>
      </c>
      <c r="L83" s="1" t="s">
        <v>46</v>
      </c>
      <c r="M83" s="2" t="s">
        <v>531</v>
      </c>
    </row>
    <row r="84">
      <c r="A84" s="1" t="s">
        <v>532</v>
      </c>
      <c r="B84" s="1" t="s">
        <v>533</v>
      </c>
      <c r="C84" s="2" t="s">
        <v>534</v>
      </c>
      <c r="D84" s="2" t="s">
        <v>535</v>
      </c>
      <c r="E84" s="1" t="s">
        <v>42</v>
      </c>
      <c r="F84" s="2" t="s">
        <v>536</v>
      </c>
      <c r="G84" s="2" t="s">
        <v>63</v>
      </c>
      <c r="H84" s="2" t="s">
        <v>194</v>
      </c>
      <c r="I84" s="1" t="s">
        <v>65</v>
      </c>
      <c r="J84" s="1" t="s">
        <v>22</v>
      </c>
      <c r="K84" s="1" t="s">
        <v>121</v>
      </c>
      <c r="L84" s="1" t="s">
        <v>36</v>
      </c>
      <c r="M84" s="2" t="s">
        <v>537</v>
      </c>
    </row>
    <row r="85">
      <c r="A85" s="1" t="s">
        <v>538</v>
      </c>
      <c r="B85" s="1" t="s">
        <v>539</v>
      </c>
      <c r="C85" s="2" t="s">
        <v>540</v>
      </c>
      <c r="D85" s="2" t="s">
        <v>541</v>
      </c>
      <c r="E85" s="1" t="s">
        <v>52</v>
      </c>
      <c r="F85" s="2" t="s">
        <v>542</v>
      </c>
      <c r="G85" s="2" t="s">
        <v>32</v>
      </c>
      <c r="H85" s="2" t="s">
        <v>194</v>
      </c>
      <c r="I85" s="1" t="s">
        <v>21</v>
      </c>
      <c r="J85" s="1" t="s">
        <v>56</v>
      </c>
      <c r="K85" s="1" t="s">
        <v>121</v>
      </c>
      <c r="L85" s="1" t="s">
        <v>36</v>
      </c>
      <c r="M85" s="2" t="s">
        <v>543</v>
      </c>
    </row>
    <row r="86">
      <c r="A86" s="1" t="s">
        <v>544</v>
      </c>
      <c r="B86" s="1" t="s">
        <v>545</v>
      </c>
      <c r="C86" s="2" t="s">
        <v>546</v>
      </c>
      <c r="D86" s="2" t="s">
        <v>547</v>
      </c>
      <c r="E86" s="1" t="s">
        <v>30</v>
      </c>
      <c r="F86" s="2" t="s">
        <v>548</v>
      </c>
      <c r="G86" s="2" t="s">
        <v>32</v>
      </c>
      <c r="H86" s="2" t="s">
        <v>345</v>
      </c>
      <c r="I86" s="1" t="s">
        <v>34</v>
      </c>
      <c r="J86" s="1" t="s">
        <v>22</v>
      </c>
      <c r="K86" s="1" t="s">
        <v>121</v>
      </c>
      <c r="L86" s="1" t="s">
        <v>24</v>
      </c>
      <c r="M86" s="2" t="s">
        <v>549</v>
      </c>
    </row>
    <row r="87">
      <c r="A87" s="1" t="s">
        <v>550</v>
      </c>
      <c r="B87" s="1" t="s">
        <v>551</v>
      </c>
      <c r="C87" s="2" t="s">
        <v>552</v>
      </c>
      <c r="D87" s="2" t="s">
        <v>553</v>
      </c>
      <c r="E87" s="1" t="s">
        <v>52</v>
      </c>
      <c r="F87" s="2" t="s">
        <v>554</v>
      </c>
      <c r="G87" s="2" t="s">
        <v>19</v>
      </c>
      <c r="H87" s="2" t="s">
        <v>64</v>
      </c>
      <c r="I87" s="1" t="s">
        <v>55</v>
      </c>
      <c r="J87" s="1" t="s">
        <v>73</v>
      </c>
      <c r="K87" s="1" t="s">
        <v>88</v>
      </c>
      <c r="L87" s="1" t="s">
        <v>46</v>
      </c>
      <c r="M87" s="2" t="s">
        <v>555</v>
      </c>
    </row>
    <row r="88">
      <c r="A88" s="1" t="s">
        <v>556</v>
      </c>
      <c r="B88" s="1" t="s">
        <v>557</v>
      </c>
      <c r="C88" s="2" t="s">
        <v>558</v>
      </c>
      <c r="D88" s="2" t="s">
        <v>559</v>
      </c>
      <c r="E88" s="1" t="s">
        <v>17</v>
      </c>
      <c r="F88" s="2" t="s">
        <v>560</v>
      </c>
      <c r="G88" s="2" t="s">
        <v>44</v>
      </c>
      <c r="H88" s="2" t="s">
        <v>20</v>
      </c>
      <c r="I88" s="1" t="s">
        <v>34</v>
      </c>
      <c r="J88" s="1" t="s">
        <v>73</v>
      </c>
      <c r="K88" s="1" t="s">
        <v>81</v>
      </c>
      <c r="L88" s="1" t="s">
        <v>36</v>
      </c>
      <c r="M88" s="2" t="s">
        <v>561</v>
      </c>
    </row>
    <row r="89">
      <c r="A89" s="1" t="s">
        <v>562</v>
      </c>
      <c r="B89" s="1" t="s">
        <v>563</v>
      </c>
      <c r="C89" s="2" t="s">
        <v>564</v>
      </c>
      <c r="D89" s="2" t="s">
        <v>565</v>
      </c>
      <c r="E89" s="1" t="s">
        <v>17</v>
      </c>
      <c r="F89" s="2" t="s">
        <v>566</v>
      </c>
      <c r="G89" s="2" t="s">
        <v>63</v>
      </c>
      <c r="H89" s="2" t="s">
        <v>114</v>
      </c>
      <c r="I89" s="1" t="s">
        <v>55</v>
      </c>
      <c r="J89" s="1" t="s">
        <v>73</v>
      </c>
      <c r="K89" s="1" t="s">
        <v>81</v>
      </c>
      <c r="L89" s="1" t="s">
        <v>46</v>
      </c>
      <c r="M89" s="2" t="s">
        <v>567</v>
      </c>
    </row>
    <row r="90">
      <c r="A90" s="1" t="s">
        <v>568</v>
      </c>
      <c r="B90" s="1" t="s">
        <v>569</v>
      </c>
      <c r="C90" s="2" t="s">
        <v>570</v>
      </c>
      <c r="D90" s="2" t="s">
        <v>571</v>
      </c>
      <c r="E90" s="1" t="s">
        <v>17</v>
      </c>
      <c r="F90" s="2" t="s">
        <v>572</v>
      </c>
      <c r="G90" s="2" t="s">
        <v>32</v>
      </c>
      <c r="H90" s="2" t="s">
        <v>20</v>
      </c>
      <c r="I90" s="1" t="s">
        <v>34</v>
      </c>
      <c r="J90" s="1" t="s">
        <v>56</v>
      </c>
      <c r="K90" s="1" t="s">
        <v>23</v>
      </c>
      <c r="L90" s="1" t="s">
        <v>36</v>
      </c>
      <c r="M90" s="2" t="s">
        <v>573</v>
      </c>
    </row>
    <row r="91">
      <c r="A91" s="1" t="s">
        <v>574</v>
      </c>
      <c r="B91" s="1" t="s">
        <v>575</v>
      </c>
      <c r="C91" s="2" t="s">
        <v>576</v>
      </c>
      <c r="D91" s="2" t="s">
        <v>577</v>
      </c>
      <c r="E91" s="1" t="s">
        <v>42</v>
      </c>
      <c r="F91" s="2" t="s">
        <v>578</v>
      </c>
      <c r="G91" s="2" t="s">
        <v>44</v>
      </c>
      <c r="H91" s="2" t="s">
        <v>345</v>
      </c>
      <c r="I91" s="1" t="s">
        <v>55</v>
      </c>
      <c r="J91" s="1" t="s">
        <v>45</v>
      </c>
      <c r="K91" s="1" t="s">
        <v>35</v>
      </c>
      <c r="L91" s="1" t="s">
        <v>46</v>
      </c>
      <c r="M91" s="2" t="s">
        <v>579</v>
      </c>
    </row>
    <row r="92">
      <c r="A92" s="1" t="s">
        <v>580</v>
      </c>
      <c r="B92" s="1" t="s">
        <v>581</v>
      </c>
      <c r="C92" s="2" t="s">
        <v>582</v>
      </c>
      <c r="D92" s="2" t="s">
        <v>583</v>
      </c>
      <c r="E92" s="1" t="s">
        <v>17</v>
      </c>
      <c r="F92" s="2" t="s">
        <v>584</v>
      </c>
      <c r="G92" s="2" t="s">
        <v>44</v>
      </c>
      <c r="H92" s="2" t="s">
        <v>33</v>
      </c>
      <c r="I92" s="1" t="s">
        <v>21</v>
      </c>
      <c r="J92" s="1" t="s">
        <v>22</v>
      </c>
      <c r="K92" s="1" t="s">
        <v>23</v>
      </c>
      <c r="L92" s="1" t="s">
        <v>36</v>
      </c>
      <c r="M92" s="2" t="s">
        <v>585</v>
      </c>
    </row>
    <row r="93">
      <c r="A93" s="1" t="s">
        <v>586</v>
      </c>
      <c r="B93" s="1" t="s">
        <v>587</v>
      </c>
      <c r="C93" s="2" t="s">
        <v>588</v>
      </c>
      <c r="D93" s="2" t="s">
        <v>589</v>
      </c>
      <c r="E93" s="1" t="s">
        <v>42</v>
      </c>
      <c r="F93" s="2" t="s">
        <v>590</v>
      </c>
      <c r="G93" s="2" t="s">
        <v>32</v>
      </c>
      <c r="H93" s="2" t="s">
        <v>64</v>
      </c>
      <c r="I93" s="1" t="s">
        <v>21</v>
      </c>
      <c r="J93" s="1" t="s">
        <v>56</v>
      </c>
      <c r="K93" s="1" t="s">
        <v>23</v>
      </c>
      <c r="L93" s="1" t="s">
        <v>46</v>
      </c>
      <c r="M93" s="2" t="s">
        <v>591</v>
      </c>
    </row>
    <row r="94">
      <c r="A94" s="1" t="s">
        <v>592</v>
      </c>
      <c r="B94" s="1" t="s">
        <v>593</v>
      </c>
      <c r="C94" s="2" t="s">
        <v>594</v>
      </c>
      <c r="D94" s="2" t="s">
        <v>595</v>
      </c>
      <c r="E94" s="1" t="s">
        <v>42</v>
      </c>
      <c r="F94" s="2" t="s">
        <v>596</v>
      </c>
      <c r="G94" s="2" t="s">
        <v>63</v>
      </c>
      <c r="H94" s="2" t="s">
        <v>64</v>
      </c>
      <c r="I94" s="1" t="s">
        <v>34</v>
      </c>
      <c r="J94" s="1" t="s">
        <v>45</v>
      </c>
      <c r="K94" s="1" t="s">
        <v>81</v>
      </c>
      <c r="L94" s="1" t="s">
        <v>46</v>
      </c>
      <c r="M94" s="2" t="s">
        <v>597</v>
      </c>
    </row>
    <row r="95">
      <c r="A95" s="1" t="s">
        <v>598</v>
      </c>
      <c r="B95" s="1" t="s">
        <v>599</v>
      </c>
      <c r="C95" s="2" t="s">
        <v>600</v>
      </c>
      <c r="D95" s="2" t="s">
        <v>601</v>
      </c>
      <c r="E95" s="1" t="s">
        <v>30</v>
      </c>
      <c r="F95" s="2" t="s">
        <v>602</v>
      </c>
      <c r="G95" s="2" t="s">
        <v>32</v>
      </c>
      <c r="H95" s="2" t="s">
        <v>345</v>
      </c>
      <c r="I95" s="1" t="s">
        <v>65</v>
      </c>
      <c r="J95" s="1" t="s">
        <v>45</v>
      </c>
      <c r="K95" s="1" t="s">
        <v>81</v>
      </c>
      <c r="L95" s="1" t="s">
        <v>24</v>
      </c>
      <c r="M95" s="2" t="s">
        <v>603</v>
      </c>
    </row>
    <row r="96">
      <c r="A96" s="1" t="s">
        <v>604</v>
      </c>
      <c r="B96" s="1" t="s">
        <v>605</v>
      </c>
      <c r="C96" s="2" t="s">
        <v>336</v>
      </c>
      <c r="D96" s="2" t="s">
        <v>606</v>
      </c>
      <c r="E96" s="1" t="s">
        <v>17</v>
      </c>
      <c r="F96" s="2" t="s">
        <v>607</v>
      </c>
      <c r="G96" s="2" t="s">
        <v>44</v>
      </c>
      <c r="H96" s="2" t="s">
        <v>72</v>
      </c>
      <c r="I96" s="1" t="s">
        <v>21</v>
      </c>
      <c r="J96" s="1" t="s">
        <v>56</v>
      </c>
      <c r="K96" s="1" t="s">
        <v>81</v>
      </c>
      <c r="L96" s="1" t="s">
        <v>24</v>
      </c>
      <c r="M96" s="2" t="s">
        <v>608</v>
      </c>
    </row>
    <row r="97">
      <c r="A97" s="1" t="s">
        <v>609</v>
      </c>
      <c r="B97" s="1" t="s">
        <v>610</v>
      </c>
      <c r="C97" s="2" t="s">
        <v>611</v>
      </c>
      <c r="D97" s="2" t="s">
        <v>612</v>
      </c>
      <c r="E97" s="1" t="s">
        <v>17</v>
      </c>
      <c r="F97" s="2" t="s">
        <v>613</v>
      </c>
      <c r="G97" s="2" t="s">
        <v>19</v>
      </c>
      <c r="H97" s="2" t="s">
        <v>54</v>
      </c>
      <c r="I97" s="1" t="s">
        <v>55</v>
      </c>
      <c r="J97" s="1" t="s">
        <v>73</v>
      </c>
      <c r="K97" s="1" t="s">
        <v>88</v>
      </c>
      <c r="L97" s="1" t="s">
        <v>46</v>
      </c>
      <c r="M97" s="2" t="s">
        <v>614</v>
      </c>
    </row>
    <row r="98">
      <c r="A98" s="1" t="s">
        <v>615</v>
      </c>
      <c r="B98" s="1" t="s">
        <v>616</v>
      </c>
      <c r="C98" s="2" t="s">
        <v>230</v>
      </c>
      <c r="D98" s="2" t="s">
        <v>617</v>
      </c>
      <c r="E98" s="1" t="s">
        <v>30</v>
      </c>
      <c r="F98" s="2" t="s">
        <v>618</v>
      </c>
      <c r="G98" s="2" t="s">
        <v>19</v>
      </c>
      <c r="H98" s="2" t="s">
        <v>194</v>
      </c>
      <c r="I98" s="1" t="s">
        <v>21</v>
      </c>
      <c r="J98" s="1" t="s">
        <v>73</v>
      </c>
      <c r="K98" s="1" t="s">
        <v>81</v>
      </c>
      <c r="L98" s="1" t="s">
        <v>36</v>
      </c>
      <c r="M98" s="2" t="s">
        <v>619</v>
      </c>
    </row>
    <row r="99">
      <c r="A99" s="1" t="s">
        <v>620</v>
      </c>
      <c r="B99" s="1" t="s">
        <v>621</v>
      </c>
      <c r="C99" s="2" t="s">
        <v>622</v>
      </c>
      <c r="D99" s="2" t="s">
        <v>623</v>
      </c>
      <c r="E99" s="1" t="s">
        <v>200</v>
      </c>
      <c r="F99" s="2" t="s">
        <v>624</v>
      </c>
      <c r="G99" s="2" t="s">
        <v>44</v>
      </c>
      <c r="H99" s="2" t="s">
        <v>141</v>
      </c>
      <c r="I99" s="1" t="s">
        <v>21</v>
      </c>
      <c r="J99" s="1" t="s">
        <v>45</v>
      </c>
      <c r="K99" s="1" t="s">
        <v>88</v>
      </c>
      <c r="L99" s="1" t="s">
        <v>24</v>
      </c>
      <c r="M99" s="2" t="s">
        <v>625</v>
      </c>
    </row>
    <row r="100">
      <c r="A100" s="1" t="s">
        <v>626</v>
      </c>
      <c r="B100" s="1" t="s">
        <v>627</v>
      </c>
      <c r="C100" s="2" t="s">
        <v>628</v>
      </c>
      <c r="D100" s="2" t="s">
        <v>629</v>
      </c>
      <c r="E100" s="1" t="s">
        <v>30</v>
      </c>
      <c r="F100" s="2" t="s">
        <v>630</v>
      </c>
      <c r="G100" s="2" t="s">
        <v>44</v>
      </c>
      <c r="H100" s="2" t="s">
        <v>72</v>
      </c>
      <c r="I100" s="1" t="s">
        <v>21</v>
      </c>
      <c r="J100" s="1" t="s">
        <v>73</v>
      </c>
      <c r="K100" s="1" t="s">
        <v>88</v>
      </c>
      <c r="L100" s="1" t="s">
        <v>46</v>
      </c>
      <c r="M100" s="2" t="s">
        <v>631</v>
      </c>
    </row>
    <row r="101">
      <c r="A101" s="1" t="s">
        <v>632</v>
      </c>
      <c r="B101" s="1" t="s">
        <v>633</v>
      </c>
      <c r="C101" s="2" t="s">
        <v>634</v>
      </c>
      <c r="D101" s="2" t="s">
        <v>635</v>
      </c>
      <c r="E101" s="1" t="s">
        <v>42</v>
      </c>
      <c r="F101" s="2" t="s">
        <v>636</v>
      </c>
      <c r="G101" s="2" t="s">
        <v>63</v>
      </c>
      <c r="H101" s="2" t="s">
        <v>483</v>
      </c>
      <c r="I101" s="1" t="s">
        <v>21</v>
      </c>
      <c r="J101" s="1" t="s">
        <v>45</v>
      </c>
      <c r="K101" s="1" t="s">
        <v>121</v>
      </c>
      <c r="L101" s="1" t="s">
        <v>24</v>
      </c>
      <c r="M101" s="2" t="s">
        <v>637</v>
      </c>
    </row>
    <row r="102">
      <c r="A102" s="1" t="s">
        <v>638</v>
      </c>
      <c r="B102" s="1" t="s">
        <v>639</v>
      </c>
      <c r="C102" s="2" t="s">
        <v>118</v>
      </c>
      <c r="D102" s="2" t="s">
        <v>640</v>
      </c>
      <c r="E102" s="1" t="s">
        <v>30</v>
      </c>
      <c r="F102" s="2" t="s">
        <v>641</v>
      </c>
      <c r="G102" s="2" t="s">
        <v>44</v>
      </c>
      <c r="H102" s="2" t="s">
        <v>483</v>
      </c>
      <c r="I102" s="1" t="s">
        <v>65</v>
      </c>
      <c r="J102" s="1" t="s">
        <v>22</v>
      </c>
      <c r="K102" s="1" t="s">
        <v>23</v>
      </c>
      <c r="L102" s="1" t="s">
        <v>36</v>
      </c>
      <c r="M102" s="2" t="s">
        <v>642</v>
      </c>
    </row>
    <row r="103">
      <c r="A103" s="1" t="s">
        <v>643</v>
      </c>
      <c r="B103" s="1" t="s">
        <v>644</v>
      </c>
      <c r="C103" s="2" t="s">
        <v>645</v>
      </c>
      <c r="D103" s="2" t="s">
        <v>646</v>
      </c>
      <c r="E103" s="1" t="s">
        <v>17</v>
      </c>
      <c r="F103" s="2" t="s">
        <v>647</v>
      </c>
      <c r="G103" s="2" t="s">
        <v>63</v>
      </c>
      <c r="H103" s="2" t="s">
        <v>33</v>
      </c>
      <c r="I103" s="1" t="s">
        <v>21</v>
      </c>
      <c r="J103" s="1" t="s">
        <v>45</v>
      </c>
      <c r="K103" s="1" t="s">
        <v>35</v>
      </c>
      <c r="L103" s="1" t="s">
        <v>36</v>
      </c>
      <c r="M103" s="2" t="s">
        <v>648</v>
      </c>
    </row>
    <row r="104">
      <c r="A104" s="1" t="s">
        <v>649</v>
      </c>
      <c r="B104" s="1" t="s">
        <v>650</v>
      </c>
      <c r="C104" s="2" t="s">
        <v>651</v>
      </c>
      <c r="D104" s="2" t="s">
        <v>652</v>
      </c>
      <c r="E104" s="1" t="s">
        <v>52</v>
      </c>
      <c r="F104" s="2" t="s">
        <v>653</v>
      </c>
      <c r="G104" s="2" t="s">
        <v>44</v>
      </c>
      <c r="H104" s="2" t="s">
        <v>72</v>
      </c>
      <c r="I104" s="1" t="s">
        <v>65</v>
      </c>
      <c r="J104" s="1" t="s">
        <v>56</v>
      </c>
      <c r="K104" s="1" t="s">
        <v>23</v>
      </c>
      <c r="L104" s="1" t="s">
        <v>46</v>
      </c>
      <c r="M104" s="2" t="s">
        <v>654</v>
      </c>
    </row>
    <row r="105">
      <c r="A105" s="1" t="s">
        <v>655</v>
      </c>
      <c r="B105" s="1" t="s">
        <v>656</v>
      </c>
      <c r="C105" s="2" t="s">
        <v>657</v>
      </c>
      <c r="D105" s="2" t="s">
        <v>658</v>
      </c>
      <c r="E105" s="1" t="s">
        <v>30</v>
      </c>
      <c r="F105" s="2" t="s">
        <v>659</v>
      </c>
      <c r="G105" s="2" t="s">
        <v>63</v>
      </c>
      <c r="H105" s="2" t="s">
        <v>95</v>
      </c>
      <c r="I105" s="1" t="s">
        <v>65</v>
      </c>
      <c r="J105" s="1" t="s">
        <v>73</v>
      </c>
      <c r="K105" s="1" t="s">
        <v>35</v>
      </c>
      <c r="L105" s="1" t="s">
        <v>24</v>
      </c>
      <c r="M105" s="2" t="s">
        <v>660</v>
      </c>
    </row>
    <row r="106">
      <c r="A106" s="1" t="s">
        <v>661</v>
      </c>
      <c r="B106" s="1" t="s">
        <v>662</v>
      </c>
      <c r="C106" s="2" t="s">
        <v>405</v>
      </c>
      <c r="D106" s="2" t="s">
        <v>663</v>
      </c>
      <c r="E106" s="1" t="s">
        <v>200</v>
      </c>
      <c r="F106" s="2" t="s">
        <v>664</v>
      </c>
      <c r="G106" s="2" t="s">
        <v>32</v>
      </c>
      <c r="H106" s="2" t="s">
        <v>518</v>
      </c>
      <c r="I106" s="1" t="s">
        <v>65</v>
      </c>
      <c r="J106" s="1" t="s">
        <v>56</v>
      </c>
      <c r="K106" s="1" t="s">
        <v>35</v>
      </c>
      <c r="L106" s="1" t="s">
        <v>24</v>
      </c>
      <c r="M106" s="2" t="s">
        <v>665</v>
      </c>
    </row>
    <row r="107">
      <c r="A107" s="1" t="s">
        <v>666</v>
      </c>
      <c r="B107" s="1" t="s">
        <v>667</v>
      </c>
      <c r="C107" s="2" t="s">
        <v>668</v>
      </c>
      <c r="D107" s="2" t="s">
        <v>669</v>
      </c>
      <c r="E107" s="1" t="s">
        <v>52</v>
      </c>
      <c r="F107" s="2" t="s">
        <v>670</v>
      </c>
      <c r="G107" s="2" t="s">
        <v>19</v>
      </c>
      <c r="H107" s="2" t="s">
        <v>114</v>
      </c>
      <c r="I107" s="1" t="s">
        <v>65</v>
      </c>
      <c r="J107" s="1" t="s">
        <v>73</v>
      </c>
      <c r="K107" s="1" t="s">
        <v>121</v>
      </c>
      <c r="L107" s="1" t="s">
        <v>24</v>
      </c>
      <c r="M107" s="2" t="s">
        <v>671</v>
      </c>
    </row>
    <row r="108">
      <c r="A108" s="1" t="s">
        <v>672</v>
      </c>
      <c r="B108" s="1" t="s">
        <v>673</v>
      </c>
      <c r="C108" s="2" t="s">
        <v>674</v>
      </c>
      <c r="D108" s="2" t="s">
        <v>675</v>
      </c>
      <c r="E108" s="1" t="s">
        <v>30</v>
      </c>
      <c r="F108" s="2" t="s">
        <v>676</v>
      </c>
      <c r="G108" s="2" t="s">
        <v>63</v>
      </c>
      <c r="H108" s="2" t="s">
        <v>54</v>
      </c>
      <c r="I108" s="1" t="s">
        <v>55</v>
      </c>
      <c r="J108" s="1" t="s">
        <v>22</v>
      </c>
      <c r="K108" s="1" t="s">
        <v>88</v>
      </c>
      <c r="L108" s="1" t="s">
        <v>46</v>
      </c>
      <c r="M108" s="2" t="s">
        <v>677</v>
      </c>
    </row>
    <row r="109">
      <c r="A109" s="1" t="s">
        <v>678</v>
      </c>
      <c r="B109" s="1" t="s">
        <v>679</v>
      </c>
      <c r="C109" s="2" t="s">
        <v>680</v>
      </c>
      <c r="D109" s="2" t="s">
        <v>681</v>
      </c>
      <c r="E109" s="1" t="s">
        <v>52</v>
      </c>
      <c r="F109" s="2" t="s">
        <v>682</v>
      </c>
      <c r="G109" s="2" t="s">
        <v>19</v>
      </c>
      <c r="H109" s="2" t="s">
        <v>326</v>
      </c>
      <c r="I109" s="1" t="s">
        <v>34</v>
      </c>
      <c r="J109" s="1" t="s">
        <v>22</v>
      </c>
      <c r="K109" s="1" t="s">
        <v>81</v>
      </c>
      <c r="L109" s="1" t="s">
        <v>36</v>
      </c>
      <c r="M109" s="2" t="s">
        <v>683</v>
      </c>
    </row>
    <row r="110">
      <c r="A110" s="1" t="s">
        <v>684</v>
      </c>
      <c r="B110" s="1" t="s">
        <v>685</v>
      </c>
      <c r="C110" s="2" t="s">
        <v>686</v>
      </c>
      <c r="D110" s="2" t="s">
        <v>687</v>
      </c>
      <c r="E110" s="1" t="s">
        <v>17</v>
      </c>
      <c r="F110" s="2" t="s">
        <v>688</v>
      </c>
      <c r="G110" s="2" t="s">
        <v>32</v>
      </c>
      <c r="H110" s="2" t="s">
        <v>326</v>
      </c>
      <c r="I110" s="1" t="s">
        <v>55</v>
      </c>
      <c r="J110" s="1" t="s">
        <v>45</v>
      </c>
      <c r="K110" s="1" t="s">
        <v>35</v>
      </c>
      <c r="L110" s="1" t="s">
        <v>46</v>
      </c>
      <c r="M110" s="2" t="s">
        <v>689</v>
      </c>
    </row>
    <row r="111">
      <c r="A111" s="1" t="s">
        <v>690</v>
      </c>
      <c r="B111" s="1" t="s">
        <v>691</v>
      </c>
      <c r="C111" s="2" t="s">
        <v>692</v>
      </c>
      <c r="D111" s="2" t="s">
        <v>693</v>
      </c>
      <c r="E111" s="1" t="s">
        <v>200</v>
      </c>
      <c r="F111" s="2" t="s">
        <v>694</v>
      </c>
      <c r="G111" s="2" t="s">
        <v>63</v>
      </c>
      <c r="H111" s="2" t="s">
        <v>194</v>
      </c>
      <c r="I111" s="1" t="s">
        <v>55</v>
      </c>
      <c r="J111" s="1" t="s">
        <v>56</v>
      </c>
      <c r="K111" s="1" t="s">
        <v>35</v>
      </c>
      <c r="L111" s="1" t="s">
        <v>36</v>
      </c>
      <c r="M111" s="2" t="s">
        <v>695</v>
      </c>
    </row>
    <row r="112">
      <c r="A112" s="1" t="s">
        <v>696</v>
      </c>
      <c r="B112" s="1" t="s">
        <v>697</v>
      </c>
      <c r="C112" s="2" t="s">
        <v>698</v>
      </c>
      <c r="D112" s="2" t="s">
        <v>699</v>
      </c>
      <c r="E112" s="1" t="s">
        <v>200</v>
      </c>
      <c r="F112" s="2" t="s">
        <v>700</v>
      </c>
      <c r="G112" s="2" t="s">
        <v>32</v>
      </c>
      <c r="H112" s="2" t="s">
        <v>80</v>
      </c>
      <c r="I112" s="1" t="s">
        <v>65</v>
      </c>
      <c r="J112" s="1" t="s">
        <v>56</v>
      </c>
      <c r="K112" s="1" t="s">
        <v>81</v>
      </c>
      <c r="L112" s="1" t="s">
        <v>36</v>
      </c>
      <c r="M112" s="2" t="s">
        <v>701</v>
      </c>
    </row>
    <row r="113">
      <c r="A113" s="1" t="s">
        <v>702</v>
      </c>
      <c r="B113" s="1" t="s">
        <v>703</v>
      </c>
      <c r="C113" s="2" t="s">
        <v>657</v>
      </c>
      <c r="D113" s="2" t="s">
        <v>704</v>
      </c>
      <c r="E113" s="1" t="s">
        <v>30</v>
      </c>
      <c r="F113" s="2" t="s">
        <v>705</v>
      </c>
      <c r="G113" s="2" t="s">
        <v>63</v>
      </c>
      <c r="H113" s="2" t="s">
        <v>194</v>
      </c>
      <c r="I113" s="1" t="s">
        <v>65</v>
      </c>
      <c r="J113" s="1" t="s">
        <v>22</v>
      </c>
      <c r="K113" s="1" t="s">
        <v>88</v>
      </c>
      <c r="L113" s="1" t="s">
        <v>24</v>
      </c>
      <c r="M113" s="2" t="s">
        <v>706</v>
      </c>
    </row>
    <row r="114">
      <c r="A114" s="1" t="s">
        <v>707</v>
      </c>
      <c r="B114" s="1" t="s">
        <v>708</v>
      </c>
      <c r="C114" s="2" t="s">
        <v>709</v>
      </c>
      <c r="D114" s="2" t="s">
        <v>710</v>
      </c>
      <c r="E114" s="1" t="s">
        <v>200</v>
      </c>
      <c r="F114" s="2" t="s">
        <v>711</v>
      </c>
      <c r="G114" s="2" t="s">
        <v>19</v>
      </c>
      <c r="H114" s="2" t="s">
        <v>20</v>
      </c>
      <c r="I114" s="1" t="s">
        <v>34</v>
      </c>
      <c r="J114" s="1" t="s">
        <v>73</v>
      </c>
      <c r="K114" s="1" t="s">
        <v>23</v>
      </c>
      <c r="L114" s="1" t="s">
        <v>36</v>
      </c>
      <c r="M114" s="2" t="s">
        <v>712</v>
      </c>
    </row>
    <row r="115">
      <c r="A115" s="1" t="s">
        <v>713</v>
      </c>
      <c r="B115" s="1" t="s">
        <v>714</v>
      </c>
      <c r="C115" s="2" t="s">
        <v>715</v>
      </c>
      <c r="D115" s="2" t="s">
        <v>716</v>
      </c>
      <c r="E115" s="1" t="s">
        <v>42</v>
      </c>
      <c r="F115" s="2" t="s">
        <v>717</v>
      </c>
      <c r="G115" s="2" t="s">
        <v>32</v>
      </c>
      <c r="H115" s="2" t="s">
        <v>114</v>
      </c>
      <c r="I115" s="1" t="s">
        <v>34</v>
      </c>
      <c r="J115" s="1" t="s">
        <v>56</v>
      </c>
      <c r="K115" s="1" t="s">
        <v>81</v>
      </c>
      <c r="L115" s="1" t="s">
        <v>24</v>
      </c>
      <c r="M115" s="2" t="s">
        <v>718</v>
      </c>
    </row>
    <row r="116">
      <c r="A116" s="1" t="s">
        <v>719</v>
      </c>
      <c r="B116" s="1" t="s">
        <v>720</v>
      </c>
      <c r="C116" s="2" t="s">
        <v>721</v>
      </c>
      <c r="D116" s="2" t="s">
        <v>722</v>
      </c>
      <c r="E116" s="1" t="s">
        <v>17</v>
      </c>
      <c r="F116" s="2" t="s">
        <v>723</v>
      </c>
      <c r="G116" s="2" t="s">
        <v>44</v>
      </c>
      <c r="H116" s="2" t="s">
        <v>326</v>
      </c>
      <c r="I116" s="1" t="s">
        <v>34</v>
      </c>
      <c r="J116" s="1" t="s">
        <v>22</v>
      </c>
      <c r="K116" s="1" t="s">
        <v>23</v>
      </c>
      <c r="L116" s="1" t="s">
        <v>24</v>
      </c>
      <c r="M116" s="2" t="s">
        <v>724</v>
      </c>
    </row>
    <row r="117">
      <c r="A117" s="1" t="s">
        <v>725</v>
      </c>
      <c r="B117" s="1" t="s">
        <v>726</v>
      </c>
      <c r="C117" s="2" t="s">
        <v>458</v>
      </c>
      <c r="D117" s="2" t="s">
        <v>727</v>
      </c>
      <c r="E117" s="1" t="s">
        <v>42</v>
      </c>
      <c r="F117" s="2" t="s">
        <v>728</v>
      </c>
      <c r="G117" s="2" t="s">
        <v>32</v>
      </c>
      <c r="H117" s="2" t="s">
        <v>194</v>
      </c>
      <c r="I117" s="1" t="s">
        <v>34</v>
      </c>
      <c r="J117" s="1" t="s">
        <v>73</v>
      </c>
      <c r="K117" s="1" t="s">
        <v>23</v>
      </c>
      <c r="L117" s="1" t="s">
        <v>46</v>
      </c>
      <c r="M117" s="2" t="s">
        <v>729</v>
      </c>
    </row>
    <row r="118">
      <c r="A118" s="1" t="s">
        <v>730</v>
      </c>
      <c r="B118" s="1" t="s">
        <v>731</v>
      </c>
      <c r="C118" s="2" t="s">
        <v>558</v>
      </c>
      <c r="D118" s="2" t="s">
        <v>732</v>
      </c>
      <c r="E118" s="1" t="s">
        <v>30</v>
      </c>
      <c r="F118" s="2" t="s">
        <v>733</v>
      </c>
      <c r="G118" s="2" t="s">
        <v>63</v>
      </c>
      <c r="H118" s="2" t="s">
        <v>128</v>
      </c>
      <c r="I118" s="1" t="s">
        <v>65</v>
      </c>
      <c r="J118" s="1" t="s">
        <v>56</v>
      </c>
      <c r="K118" s="1" t="s">
        <v>121</v>
      </c>
      <c r="L118" s="1" t="s">
        <v>46</v>
      </c>
      <c r="M118" s="2" t="s">
        <v>734</v>
      </c>
    </row>
    <row r="119">
      <c r="A119" s="1" t="s">
        <v>735</v>
      </c>
      <c r="B119" s="1" t="s">
        <v>736</v>
      </c>
      <c r="C119" s="2" t="s">
        <v>552</v>
      </c>
      <c r="D119" s="2" t="s">
        <v>737</v>
      </c>
      <c r="E119" s="1" t="s">
        <v>200</v>
      </c>
      <c r="F119" s="2" t="s">
        <v>738</v>
      </c>
      <c r="G119" s="2" t="s">
        <v>19</v>
      </c>
      <c r="H119" s="2" t="s">
        <v>483</v>
      </c>
      <c r="I119" s="1" t="s">
        <v>55</v>
      </c>
      <c r="J119" s="1" t="s">
        <v>22</v>
      </c>
      <c r="K119" s="1" t="s">
        <v>121</v>
      </c>
      <c r="L119" s="1" t="s">
        <v>24</v>
      </c>
      <c r="M119" s="2" t="s">
        <v>739</v>
      </c>
    </row>
    <row r="120">
      <c r="A120" s="1" t="s">
        <v>740</v>
      </c>
      <c r="B120" s="1" t="s">
        <v>741</v>
      </c>
      <c r="C120" s="2" t="s">
        <v>742</v>
      </c>
      <c r="D120" s="2" t="s">
        <v>743</v>
      </c>
      <c r="E120" s="1" t="s">
        <v>30</v>
      </c>
      <c r="F120" s="2" t="s">
        <v>744</v>
      </c>
      <c r="G120" s="2" t="s">
        <v>44</v>
      </c>
      <c r="H120" s="2" t="s">
        <v>518</v>
      </c>
      <c r="I120" s="1" t="s">
        <v>65</v>
      </c>
      <c r="J120" s="1" t="s">
        <v>73</v>
      </c>
      <c r="K120" s="1" t="s">
        <v>81</v>
      </c>
      <c r="L120" s="1" t="s">
        <v>24</v>
      </c>
      <c r="M120" s="2" t="s">
        <v>745</v>
      </c>
    </row>
    <row r="121">
      <c r="A121" s="1" t="s">
        <v>746</v>
      </c>
      <c r="B121" s="1" t="s">
        <v>747</v>
      </c>
      <c r="C121" s="2" t="s">
        <v>748</v>
      </c>
      <c r="D121" s="2" t="s">
        <v>749</v>
      </c>
      <c r="E121" s="1" t="s">
        <v>30</v>
      </c>
      <c r="F121" s="2" t="s">
        <v>750</v>
      </c>
      <c r="G121" s="2" t="s">
        <v>44</v>
      </c>
      <c r="H121" s="2" t="s">
        <v>80</v>
      </c>
      <c r="I121" s="1" t="s">
        <v>21</v>
      </c>
      <c r="J121" s="1" t="s">
        <v>22</v>
      </c>
      <c r="K121" s="1" t="s">
        <v>121</v>
      </c>
      <c r="L121" s="1" t="s">
        <v>24</v>
      </c>
      <c r="M121" s="2" t="s">
        <v>751</v>
      </c>
    </row>
    <row r="122">
      <c r="A122" s="1" t="s">
        <v>752</v>
      </c>
      <c r="B122" s="1" t="s">
        <v>753</v>
      </c>
      <c r="C122" s="2" t="s">
        <v>754</v>
      </c>
      <c r="D122" s="2" t="s">
        <v>755</v>
      </c>
      <c r="E122" s="1" t="s">
        <v>42</v>
      </c>
      <c r="F122" s="2" t="s">
        <v>756</v>
      </c>
      <c r="G122" s="2" t="s">
        <v>32</v>
      </c>
      <c r="H122" s="2" t="s">
        <v>64</v>
      </c>
      <c r="I122" s="1" t="s">
        <v>55</v>
      </c>
      <c r="J122" s="1" t="s">
        <v>73</v>
      </c>
      <c r="K122" s="1" t="s">
        <v>23</v>
      </c>
      <c r="L122" s="1" t="s">
        <v>36</v>
      </c>
      <c r="M122" s="2" t="s">
        <v>757</v>
      </c>
    </row>
    <row r="123">
      <c r="A123" s="1" t="s">
        <v>758</v>
      </c>
      <c r="B123" s="1" t="s">
        <v>759</v>
      </c>
      <c r="C123" s="2" t="s">
        <v>760</v>
      </c>
      <c r="D123" s="2" t="s">
        <v>761</v>
      </c>
      <c r="E123" s="1" t="s">
        <v>52</v>
      </c>
      <c r="F123" s="2" t="s">
        <v>762</v>
      </c>
      <c r="G123" s="2" t="s">
        <v>32</v>
      </c>
      <c r="H123" s="2" t="s">
        <v>483</v>
      </c>
      <c r="I123" s="1" t="s">
        <v>21</v>
      </c>
      <c r="J123" s="1" t="s">
        <v>45</v>
      </c>
      <c r="K123" s="1" t="s">
        <v>81</v>
      </c>
      <c r="L123" s="1" t="s">
        <v>46</v>
      </c>
      <c r="M123" s="2" t="s">
        <v>763</v>
      </c>
    </row>
    <row r="124">
      <c r="A124" s="1" t="s">
        <v>764</v>
      </c>
      <c r="B124" s="1" t="s">
        <v>765</v>
      </c>
      <c r="C124" s="2" t="s">
        <v>766</v>
      </c>
      <c r="D124" s="2" t="s">
        <v>767</v>
      </c>
      <c r="E124" s="1" t="s">
        <v>52</v>
      </c>
      <c r="F124" s="2" t="s">
        <v>768</v>
      </c>
      <c r="G124" s="2" t="s">
        <v>44</v>
      </c>
      <c r="H124" s="2" t="s">
        <v>33</v>
      </c>
      <c r="I124" s="1" t="s">
        <v>21</v>
      </c>
      <c r="J124" s="1" t="s">
        <v>73</v>
      </c>
      <c r="K124" s="1" t="s">
        <v>81</v>
      </c>
      <c r="L124" s="1" t="s">
        <v>24</v>
      </c>
      <c r="M124" s="2" t="s">
        <v>769</v>
      </c>
    </row>
    <row r="125">
      <c r="A125" s="1" t="s">
        <v>770</v>
      </c>
      <c r="B125" s="1" t="s">
        <v>771</v>
      </c>
      <c r="C125" s="2" t="s">
        <v>151</v>
      </c>
      <c r="D125" s="2" t="s">
        <v>772</v>
      </c>
      <c r="E125" s="1" t="s">
        <v>17</v>
      </c>
      <c r="F125" s="2" t="s">
        <v>773</v>
      </c>
      <c r="G125" s="2" t="s">
        <v>32</v>
      </c>
      <c r="H125" s="2" t="s">
        <v>128</v>
      </c>
      <c r="I125" s="1" t="s">
        <v>21</v>
      </c>
      <c r="J125" s="1" t="s">
        <v>45</v>
      </c>
      <c r="K125" s="1" t="s">
        <v>121</v>
      </c>
      <c r="L125" s="1" t="s">
        <v>36</v>
      </c>
      <c r="M125" s="2" t="s">
        <v>774</v>
      </c>
    </row>
    <row r="126">
      <c r="A126" s="1" t="s">
        <v>775</v>
      </c>
      <c r="B126" s="1" t="s">
        <v>776</v>
      </c>
      <c r="C126" s="2" t="s">
        <v>777</v>
      </c>
      <c r="D126" s="2" t="s">
        <v>778</v>
      </c>
      <c r="E126" s="1" t="s">
        <v>200</v>
      </c>
      <c r="F126" s="2" t="s">
        <v>779</v>
      </c>
      <c r="G126" s="2" t="s">
        <v>19</v>
      </c>
      <c r="H126" s="2" t="s">
        <v>20</v>
      </c>
      <c r="I126" s="1" t="s">
        <v>65</v>
      </c>
      <c r="J126" s="1" t="s">
        <v>22</v>
      </c>
      <c r="K126" s="1" t="s">
        <v>35</v>
      </c>
      <c r="L126" s="1" t="s">
        <v>24</v>
      </c>
      <c r="M126" s="2" t="s">
        <v>780</v>
      </c>
    </row>
    <row r="127">
      <c r="A127" s="1" t="s">
        <v>781</v>
      </c>
      <c r="B127" s="1" t="s">
        <v>782</v>
      </c>
      <c r="C127" s="2" t="s">
        <v>783</v>
      </c>
      <c r="D127" s="2" t="s">
        <v>784</v>
      </c>
      <c r="E127" s="1" t="s">
        <v>200</v>
      </c>
      <c r="F127" s="2" t="s">
        <v>785</v>
      </c>
      <c r="G127" s="2" t="s">
        <v>44</v>
      </c>
      <c r="H127" s="2" t="s">
        <v>20</v>
      </c>
      <c r="I127" s="1" t="s">
        <v>21</v>
      </c>
      <c r="J127" s="1" t="s">
        <v>56</v>
      </c>
      <c r="K127" s="1" t="s">
        <v>88</v>
      </c>
      <c r="L127" s="1" t="s">
        <v>24</v>
      </c>
      <c r="M127" s="2" t="s">
        <v>786</v>
      </c>
    </row>
    <row r="128">
      <c r="A128" s="1" t="s">
        <v>787</v>
      </c>
      <c r="B128" s="1" t="s">
        <v>788</v>
      </c>
      <c r="C128" s="2" t="s">
        <v>789</v>
      </c>
      <c r="D128" s="2" t="s">
        <v>790</v>
      </c>
      <c r="E128" s="1" t="s">
        <v>17</v>
      </c>
      <c r="F128" s="2" t="s">
        <v>791</v>
      </c>
      <c r="G128" s="2" t="s">
        <v>44</v>
      </c>
      <c r="H128" s="2" t="s">
        <v>326</v>
      </c>
      <c r="I128" s="1" t="s">
        <v>34</v>
      </c>
      <c r="J128" s="1" t="s">
        <v>22</v>
      </c>
      <c r="K128" s="1" t="s">
        <v>23</v>
      </c>
      <c r="L128" s="1" t="s">
        <v>36</v>
      </c>
      <c r="M128" s="2" t="s">
        <v>792</v>
      </c>
    </row>
    <row r="129">
      <c r="A129" s="1" t="s">
        <v>793</v>
      </c>
      <c r="B129" s="1" t="s">
        <v>794</v>
      </c>
      <c r="C129" s="2" t="s">
        <v>680</v>
      </c>
      <c r="D129" s="2" t="s">
        <v>795</v>
      </c>
      <c r="E129" s="1" t="s">
        <v>200</v>
      </c>
      <c r="F129" s="2" t="s">
        <v>796</v>
      </c>
      <c r="G129" s="2" t="s">
        <v>32</v>
      </c>
      <c r="H129" s="2" t="s">
        <v>95</v>
      </c>
      <c r="I129" s="1" t="s">
        <v>65</v>
      </c>
      <c r="J129" s="1" t="s">
        <v>56</v>
      </c>
      <c r="K129" s="1" t="s">
        <v>121</v>
      </c>
      <c r="L129" s="1" t="s">
        <v>36</v>
      </c>
      <c r="M129" s="2" t="s">
        <v>797</v>
      </c>
    </row>
    <row r="130">
      <c r="A130" s="1" t="s">
        <v>798</v>
      </c>
      <c r="B130" s="1" t="s">
        <v>799</v>
      </c>
      <c r="C130" s="2" t="s">
        <v>800</v>
      </c>
      <c r="D130" s="2" t="s">
        <v>801</v>
      </c>
      <c r="E130" s="1" t="s">
        <v>200</v>
      </c>
      <c r="F130" s="2" t="s">
        <v>802</v>
      </c>
      <c r="G130" s="2" t="s">
        <v>32</v>
      </c>
      <c r="H130" s="2" t="s">
        <v>54</v>
      </c>
      <c r="I130" s="1" t="s">
        <v>34</v>
      </c>
      <c r="J130" s="1" t="s">
        <v>56</v>
      </c>
      <c r="K130" s="1" t="s">
        <v>81</v>
      </c>
      <c r="L130" s="1" t="s">
        <v>46</v>
      </c>
      <c r="M130" s="2" t="s">
        <v>803</v>
      </c>
    </row>
    <row r="131">
      <c r="A131" s="1" t="s">
        <v>804</v>
      </c>
      <c r="B131" s="1" t="s">
        <v>805</v>
      </c>
      <c r="C131" s="2" t="s">
        <v>806</v>
      </c>
      <c r="D131" s="2" t="s">
        <v>807</v>
      </c>
      <c r="E131" s="1" t="s">
        <v>52</v>
      </c>
      <c r="F131" s="2" t="s">
        <v>808</v>
      </c>
      <c r="G131" s="2" t="s">
        <v>63</v>
      </c>
      <c r="H131" s="2" t="s">
        <v>141</v>
      </c>
      <c r="I131" s="1" t="s">
        <v>55</v>
      </c>
      <c r="J131" s="1" t="s">
        <v>22</v>
      </c>
      <c r="K131" s="1" t="s">
        <v>23</v>
      </c>
      <c r="L131" s="1" t="s">
        <v>46</v>
      </c>
      <c r="M131" s="2" t="s">
        <v>809</v>
      </c>
    </row>
    <row r="132">
      <c r="A132" s="1" t="s">
        <v>810</v>
      </c>
      <c r="B132" s="1" t="s">
        <v>811</v>
      </c>
      <c r="C132" s="2" t="s">
        <v>812</v>
      </c>
      <c r="D132" s="2" t="s">
        <v>813</v>
      </c>
      <c r="E132" s="1" t="s">
        <v>17</v>
      </c>
      <c r="F132" s="2" t="s">
        <v>814</v>
      </c>
      <c r="G132" s="2" t="s">
        <v>32</v>
      </c>
      <c r="H132" s="2" t="s">
        <v>114</v>
      </c>
      <c r="I132" s="1" t="s">
        <v>34</v>
      </c>
      <c r="J132" s="1" t="s">
        <v>56</v>
      </c>
      <c r="K132" s="1" t="s">
        <v>121</v>
      </c>
      <c r="L132" s="1" t="s">
        <v>36</v>
      </c>
      <c r="M132" s="2" t="s">
        <v>815</v>
      </c>
    </row>
    <row r="133">
      <c r="A133" s="1" t="s">
        <v>816</v>
      </c>
      <c r="B133" s="1" t="s">
        <v>817</v>
      </c>
      <c r="C133" s="2" t="s">
        <v>818</v>
      </c>
      <c r="D133" s="2" t="s">
        <v>819</v>
      </c>
      <c r="E133" s="1" t="s">
        <v>17</v>
      </c>
      <c r="F133" s="2" t="s">
        <v>820</v>
      </c>
      <c r="G133" s="2" t="s">
        <v>44</v>
      </c>
      <c r="H133" s="2" t="s">
        <v>33</v>
      </c>
      <c r="I133" s="1" t="s">
        <v>55</v>
      </c>
      <c r="J133" s="1" t="s">
        <v>22</v>
      </c>
      <c r="K133" s="1" t="s">
        <v>88</v>
      </c>
      <c r="L133" s="1" t="s">
        <v>36</v>
      </c>
      <c r="M133" s="2" t="s">
        <v>821</v>
      </c>
    </row>
    <row r="134">
      <c r="A134" s="1" t="s">
        <v>822</v>
      </c>
      <c r="B134" s="1" t="s">
        <v>823</v>
      </c>
      <c r="C134" s="2" t="s">
        <v>824</v>
      </c>
      <c r="D134" s="2" t="s">
        <v>825</v>
      </c>
      <c r="E134" s="1" t="s">
        <v>200</v>
      </c>
      <c r="F134" s="2" t="s">
        <v>826</v>
      </c>
      <c r="G134" s="2" t="s">
        <v>44</v>
      </c>
      <c r="H134" s="2" t="s">
        <v>345</v>
      </c>
      <c r="I134" s="1" t="s">
        <v>55</v>
      </c>
      <c r="J134" s="1" t="s">
        <v>56</v>
      </c>
      <c r="K134" s="1" t="s">
        <v>81</v>
      </c>
      <c r="L134" s="1" t="s">
        <v>36</v>
      </c>
      <c r="M134" s="2" t="s">
        <v>827</v>
      </c>
    </row>
    <row r="135">
      <c r="A135" s="1" t="s">
        <v>828</v>
      </c>
      <c r="B135" s="1" t="s">
        <v>829</v>
      </c>
      <c r="C135" s="2" t="s">
        <v>305</v>
      </c>
      <c r="D135" s="2" t="s">
        <v>830</v>
      </c>
      <c r="E135" s="1" t="s">
        <v>42</v>
      </c>
      <c r="F135" s="2" t="s">
        <v>831</v>
      </c>
      <c r="G135" s="2" t="s">
        <v>63</v>
      </c>
      <c r="H135" s="2" t="s">
        <v>326</v>
      </c>
      <c r="I135" s="1" t="s">
        <v>21</v>
      </c>
      <c r="J135" s="1" t="s">
        <v>45</v>
      </c>
      <c r="K135" s="1" t="s">
        <v>35</v>
      </c>
      <c r="L135" s="1" t="s">
        <v>46</v>
      </c>
      <c r="M135" s="2" t="s">
        <v>832</v>
      </c>
    </row>
    <row r="136">
      <c r="A136" s="1" t="s">
        <v>833</v>
      </c>
      <c r="B136" s="1" t="s">
        <v>834</v>
      </c>
      <c r="C136" s="2" t="s">
        <v>835</v>
      </c>
      <c r="D136" s="2" t="s">
        <v>836</v>
      </c>
      <c r="E136" s="1" t="s">
        <v>200</v>
      </c>
      <c r="F136" s="2" t="s">
        <v>837</v>
      </c>
      <c r="G136" s="2" t="s">
        <v>63</v>
      </c>
      <c r="H136" s="2" t="s">
        <v>326</v>
      </c>
      <c r="I136" s="1" t="s">
        <v>34</v>
      </c>
      <c r="J136" s="1" t="s">
        <v>22</v>
      </c>
      <c r="K136" s="1" t="s">
        <v>23</v>
      </c>
      <c r="L136" s="1" t="s">
        <v>36</v>
      </c>
      <c r="M136" s="2" t="s">
        <v>838</v>
      </c>
    </row>
    <row r="137">
      <c r="A137" s="1" t="s">
        <v>839</v>
      </c>
      <c r="B137" s="1" t="s">
        <v>840</v>
      </c>
      <c r="C137" s="2" t="s">
        <v>361</v>
      </c>
      <c r="D137" s="2" t="s">
        <v>841</v>
      </c>
      <c r="E137" s="1" t="s">
        <v>52</v>
      </c>
      <c r="F137" s="2" t="s">
        <v>842</v>
      </c>
      <c r="G137" s="2" t="s">
        <v>44</v>
      </c>
      <c r="H137" s="2" t="s">
        <v>114</v>
      </c>
      <c r="I137" s="1" t="s">
        <v>34</v>
      </c>
      <c r="J137" s="1" t="s">
        <v>45</v>
      </c>
      <c r="K137" s="1" t="s">
        <v>23</v>
      </c>
      <c r="L137" s="1" t="s">
        <v>36</v>
      </c>
      <c r="M137" s="2" t="s">
        <v>843</v>
      </c>
    </row>
    <row r="138">
      <c r="A138" s="1" t="s">
        <v>844</v>
      </c>
      <c r="B138" s="1" t="s">
        <v>845</v>
      </c>
      <c r="C138" s="2" t="s">
        <v>846</v>
      </c>
      <c r="D138" s="2" t="s">
        <v>847</v>
      </c>
      <c r="E138" s="1" t="s">
        <v>52</v>
      </c>
      <c r="F138" s="2" t="s">
        <v>848</v>
      </c>
      <c r="G138" s="2" t="s">
        <v>63</v>
      </c>
      <c r="H138" s="2" t="s">
        <v>141</v>
      </c>
      <c r="I138" s="1" t="s">
        <v>55</v>
      </c>
      <c r="J138" s="1" t="s">
        <v>56</v>
      </c>
      <c r="K138" s="1" t="s">
        <v>23</v>
      </c>
      <c r="L138" s="1" t="s">
        <v>24</v>
      </c>
      <c r="M138" s="2" t="s">
        <v>849</v>
      </c>
    </row>
    <row r="139">
      <c r="A139" s="1" t="s">
        <v>850</v>
      </c>
      <c r="B139" s="1" t="s">
        <v>851</v>
      </c>
      <c r="C139" s="2" t="s">
        <v>852</v>
      </c>
      <c r="D139" s="2" t="s">
        <v>853</v>
      </c>
      <c r="E139" s="1" t="s">
        <v>30</v>
      </c>
      <c r="F139" s="2" t="s">
        <v>854</v>
      </c>
      <c r="G139" s="2" t="s">
        <v>44</v>
      </c>
      <c r="H139" s="2" t="s">
        <v>128</v>
      </c>
      <c r="I139" s="1" t="s">
        <v>55</v>
      </c>
      <c r="J139" s="1" t="s">
        <v>56</v>
      </c>
      <c r="K139" s="1" t="s">
        <v>35</v>
      </c>
      <c r="L139" s="1" t="s">
        <v>46</v>
      </c>
      <c r="M139" s="2" t="s">
        <v>855</v>
      </c>
    </row>
    <row r="140">
      <c r="A140" s="1" t="s">
        <v>856</v>
      </c>
      <c r="B140" s="1" t="s">
        <v>857</v>
      </c>
      <c r="C140" s="2" t="s">
        <v>168</v>
      </c>
      <c r="D140" s="2" t="s">
        <v>858</v>
      </c>
      <c r="E140" s="1" t="s">
        <v>52</v>
      </c>
      <c r="F140" s="2" t="s">
        <v>859</v>
      </c>
      <c r="G140" s="2" t="s">
        <v>32</v>
      </c>
      <c r="H140" s="2" t="s">
        <v>483</v>
      </c>
      <c r="I140" s="1" t="s">
        <v>55</v>
      </c>
      <c r="J140" s="1" t="s">
        <v>45</v>
      </c>
      <c r="K140" s="1" t="s">
        <v>88</v>
      </c>
      <c r="L140" s="1" t="s">
        <v>46</v>
      </c>
      <c r="M140" s="2" t="s">
        <v>860</v>
      </c>
    </row>
    <row r="141">
      <c r="A141" s="1" t="s">
        <v>861</v>
      </c>
      <c r="B141" s="1" t="s">
        <v>862</v>
      </c>
      <c r="C141" s="2" t="s">
        <v>405</v>
      </c>
      <c r="D141" s="2" t="s">
        <v>863</v>
      </c>
      <c r="E141" s="1" t="s">
        <v>200</v>
      </c>
      <c r="F141" s="2" t="s">
        <v>864</v>
      </c>
      <c r="G141" s="2" t="s">
        <v>44</v>
      </c>
      <c r="H141" s="2" t="s">
        <v>141</v>
      </c>
      <c r="I141" s="1" t="s">
        <v>21</v>
      </c>
      <c r="J141" s="1" t="s">
        <v>22</v>
      </c>
      <c r="K141" s="1" t="s">
        <v>88</v>
      </c>
      <c r="L141" s="1" t="s">
        <v>24</v>
      </c>
      <c r="M141" s="2" t="s">
        <v>865</v>
      </c>
    </row>
    <row r="142">
      <c r="A142" s="1" t="s">
        <v>866</v>
      </c>
      <c r="B142" s="1" t="s">
        <v>867</v>
      </c>
      <c r="C142" s="2" t="s">
        <v>868</v>
      </c>
      <c r="D142" s="2" t="s">
        <v>869</v>
      </c>
      <c r="E142" s="1" t="s">
        <v>42</v>
      </c>
      <c r="F142" s="2" t="s">
        <v>870</v>
      </c>
      <c r="G142" s="2" t="s">
        <v>63</v>
      </c>
      <c r="H142" s="2" t="s">
        <v>114</v>
      </c>
      <c r="I142" s="1" t="s">
        <v>21</v>
      </c>
      <c r="J142" s="1" t="s">
        <v>22</v>
      </c>
      <c r="K142" s="1" t="s">
        <v>35</v>
      </c>
      <c r="L142" s="1" t="s">
        <v>46</v>
      </c>
      <c r="M142" s="2" t="s">
        <v>871</v>
      </c>
    </row>
    <row r="143">
      <c r="A143" s="1" t="s">
        <v>872</v>
      </c>
      <c r="B143" s="1" t="s">
        <v>873</v>
      </c>
      <c r="C143" s="2" t="s">
        <v>874</v>
      </c>
      <c r="D143" s="2" t="s">
        <v>875</v>
      </c>
      <c r="E143" s="1" t="s">
        <v>200</v>
      </c>
      <c r="F143" s="2" t="s">
        <v>876</v>
      </c>
      <c r="G143" s="2" t="s">
        <v>32</v>
      </c>
      <c r="H143" s="2" t="s">
        <v>194</v>
      </c>
      <c r="I143" s="1" t="s">
        <v>55</v>
      </c>
      <c r="J143" s="1" t="s">
        <v>73</v>
      </c>
      <c r="K143" s="1" t="s">
        <v>121</v>
      </c>
      <c r="L143" s="1" t="s">
        <v>36</v>
      </c>
      <c r="M143" s="2" t="s">
        <v>877</v>
      </c>
    </row>
    <row r="144">
      <c r="A144" s="1" t="s">
        <v>878</v>
      </c>
      <c r="B144" s="1" t="s">
        <v>879</v>
      </c>
      <c r="C144" s="2" t="s">
        <v>880</v>
      </c>
      <c r="D144" s="2" t="s">
        <v>881</v>
      </c>
      <c r="E144" s="1" t="s">
        <v>200</v>
      </c>
      <c r="F144" s="2" t="s">
        <v>882</v>
      </c>
      <c r="G144" s="2" t="s">
        <v>44</v>
      </c>
      <c r="H144" s="2" t="s">
        <v>194</v>
      </c>
      <c r="I144" s="1" t="s">
        <v>21</v>
      </c>
      <c r="J144" s="1" t="s">
        <v>22</v>
      </c>
      <c r="K144" s="1" t="s">
        <v>35</v>
      </c>
      <c r="L144" s="1" t="s">
        <v>24</v>
      </c>
      <c r="M144" s="2" t="s">
        <v>883</v>
      </c>
    </row>
    <row r="145">
      <c r="A145" s="1" t="s">
        <v>884</v>
      </c>
      <c r="B145" s="1" t="s">
        <v>885</v>
      </c>
      <c r="C145" s="2" t="s">
        <v>886</v>
      </c>
      <c r="D145" s="2" t="s">
        <v>887</v>
      </c>
      <c r="E145" s="1" t="s">
        <v>17</v>
      </c>
      <c r="F145" s="2" t="s">
        <v>888</v>
      </c>
      <c r="G145" s="2" t="s">
        <v>44</v>
      </c>
      <c r="H145" s="2" t="s">
        <v>345</v>
      </c>
      <c r="I145" s="1" t="s">
        <v>65</v>
      </c>
      <c r="J145" s="1" t="s">
        <v>22</v>
      </c>
      <c r="K145" s="1" t="s">
        <v>23</v>
      </c>
      <c r="L145" s="1" t="s">
        <v>46</v>
      </c>
      <c r="M145" s="2" t="s">
        <v>889</v>
      </c>
    </row>
    <row r="146">
      <c r="A146" s="1" t="s">
        <v>890</v>
      </c>
      <c r="B146" s="1" t="s">
        <v>891</v>
      </c>
      <c r="C146" s="2" t="s">
        <v>892</v>
      </c>
      <c r="D146" s="2" t="s">
        <v>893</v>
      </c>
      <c r="E146" s="1" t="s">
        <v>200</v>
      </c>
      <c r="F146" s="2" t="s">
        <v>894</v>
      </c>
      <c r="G146" s="2" t="s">
        <v>63</v>
      </c>
      <c r="H146" s="2" t="s">
        <v>20</v>
      </c>
      <c r="I146" s="1" t="s">
        <v>21</v>
      </c>
      <c r="J146" s="1" t="s">
        <v>45</v>
      </c>
      <c r="K146" s="1" t="s">
        <v>121</v>
      </c>
      <c r="L146" s="1" t="s">
        <v>46</v>
      </c>
      <c r="M146" s="2" t="s">
        <v>895</v>
      </c>
    </row>
    <row r="147">
      <c r="A147" s="1" t="s">
        <v>896</v>
      </c>
      <c r="B147" s="1" t="s">
        <v>897</v>
      </c>
      <c r="C147" s="2" t="s">
        <v>812</v>
      </c>
      <c r="D147" s="2" t="s">
        <v>898</v>
      </c>
      <c r="E147" s="1" t="s">
        <v>52</v>
      </c>
      <c r="F147" s="2" t="s">
        <v>899</v>
      </c>
      <c r="G147" s="2" t="s">
        <v>63</v>
      </c>
      <c r="H147" s="2" t="s">
        <v>326</v>
      </c>
      <c r="I147" s="1" t="s">
        <v>21</v>
      </c>
      <c r="J147" s="1" t="s">
        <v>45</v>
      </c>
      <c r="K147" s="1" t="s">
        <v>23</v>
      </c>
      <c r="L147" s="1" t="s">
        <v>46</v>
      </c>
      <c r="M147" s="2" t="s">
        <v>900</v>
      </c>
    </row>
    <row r="148">
      <c r="A148" s="1" t="s">
        <v>901</v>
      </c>
      <c r="B148" s="1" t="s">
        <v>902</v>
      </c>
      <c r="C148" s="2" t="s">
        <v>903</v>
      </c>
      <c r="D148" s="2" t="s">
        <v>904</v>
      </c>
      <c r="E148" s="1" t="s">
        <v>30</v>
      </c>
      <c r="F148" s="2" t="s">
        <v>905</v>
      </c>
      <c r="G148" s="2" t="s">
        <v>19</v>
      </c>
      <c r="H148" s="2" t="s">
        <v>95</v>
      </c>
      <c r="I148" s="1" t="s">
        <v>65</v>
      </c>
      <c r="J148" s="1" t="s">
        <v>45</v>
      </c>
      <c r="K148" s="1" t="s">
        <v>121</v>
      </c>
      <c r="L148" s="1" t="s">
        <v>46</v>
      </c>
      <c r="M148" s="2" t="s">
        <v>906</v>
      </c>
    </row>
    <row r="149">
      <c r="A149" s="1" t="s">
        <v>907</v>
      </c>
      <c r="B149" s="1" t="s">
        <v>908</v>
      </c>
      <c r="C149" s="2" t="s">
        <v>622</v>
      </c>
      <c r="D149" s="2" t="s">
        <v>909</v>
      </c>
      <c r="E149" s="1" t="s">
        <v>17</v>
      </c>
      <c r="F149" s="2" t="s">
        <v>910</v>
      </c>
      <c r="G149" s="2" t="s">
        <v>44</v>
      </c>
      <c r="H149" s="2" t="s">
        <v>64</v>
      </c>
      <c r="I149" s="1" t="s">
        <v>65</v>
      </c>
      <c r="J149" s="1" t="s">
        <v>22</v>
      </c>
      <c r="K149" s="1" t="s">
        <v>121</v>
      </c>
      <c r="L149" s="1" t="s">
        <v>24</v>
      </c>
      <c r="M149" s="2" t="s">
        <v>911</v>
      </c>
    </row>
    <row r="150">
      <c r="A150" s="1" t="s">
        <v>912</v>
      </c>
      <c r="B150" s="1" t="s">
        <v>913</v>
      </c>
      <c r="C150" s="2" t="s">
        <v>914</v>
      </c>
      <c r="D150" s="2" t="s">
        <v>915</v>
      </c>
      <c r="E150" s="1" t="s">
        <v>17</v>
      </c>
      <c r="F150" s="2" t="s">
        <v>916</v>
      </c>
      <c r="G150" s="2" t="s">
        <v>32</v>
      </c>
      <c r="H150" s="2" t="s">
        <v>128</v>
      </c>
      <c r="I150" s="1" t="s">
        <v>55</v>
      </c>
      <c r="J150" s="1" t="s">
        <v>73</v>
      </c>
      <c r="K150" s="1" t="s">
        <v>88</v>
      </c>
      <c r="L150" s="1" t="s">
        <v>36</v>
      </c>
      <c r="M150" s="2" t="s">
        <v>917</v>
      </c>
    </row>
    <row r="151">
      <c r="A151" s="1" t="s">
        <v>918</v>
      </c>
      <c r="B151" s="1" t="s">
        <v>919</v>
      </c>
      <c r="C151" s="2" t="s">
        <v>920</v>
      </c>
      <c r="D151" s="2" t="s">
        <v>921</v>
      </c>
      <c r="E151" s="1" t="s">
        <v>200</v>
      </c>
      <c r="F151" s="2" t="s">
        <v>922</v>
      </c>
      <c r="G151" s="2" t="s">
        <v>63</v>
      </c>
      <c r="H151" s="2" t="s">
        <v>345</v>
      </c>
      <c r="I151" s="1" t="s">
        <v>34</v>
      </c>
      <c r="J151" s="1" t="s">
        <v>56</v>
      </c>
      <c r="K151" s="1" t="s">
        <v>81</v>
      </c>
      <c r="L151" s="1" t="s">
        <v>24</v>
      </c>
      <c r="M151" s="2" t="s">
        <v>923</v>
      </c>
    </row>
    <row r="152">
      <c r="A152" s="1" t="s">
        <v>924</v>
      </c>
      <c r="B152" s="1" t="s">
        <v>925</v>
      </c>
      <c r="C152" s="2" t="s">
        <v>926</v>
      </c>
      <c r="D152" s="2" t="s">
        <v>927</v>
      </c>
      <c r="E152" s="1" t="s">
        <v>30</v>
      </c>
      <c r="F152" s="2" t="s">
        <v>928</v>
      </c>
      <c r="G152" s="2" t="s">
        <v>32</v>
      </c>
      <c r="H152" s="2" t="s">
        <v>141</v>
      </c>
      <c r="I152" s="1" t="s">
        <v>55</v>
      </c>
      <c r="J152" s="1" t="s">
        <v>73</v>
      </c>
      <c r="K152" s="1" t="s">
        <v>35</v>
      </c>
      <c r="L152" s="1" t="s">
        <v>46</v>
      </c>
      <c r="M152" s="2" t="s">
        <v>929</v>
      </c>
    </row>
    <row r="153">
      <c r="A153" s="1" t="s">
        <v>930</v>
      </c>
      <c r="B153" s="1" t="s">
        <v>931</v>
      </c>
      <c r="C153" s="2" t="s">
        <v>932</v>
      </c>
      <c r="D153" s="2" t="s">
        <v>933</v>
      </c>
      <c r="E153" s="1" t="s">
        <v>17</v>
      </c>
      <c r="F153" s="2" t="s">
        <v>934</v>
      </c>
      <c r="G153" s="2" t="s">
        <v>19</v>
      </c>
      <c r="H153" s="2" t="s">
        <v>518</v>
      </c>
      <c r="I153" s="1" t="s">
        <v>55</v>
      </c>
      <c r="J153" s="1" t="s">
        <v>22</v>
      </c>
      <c r="K153" s="1" t="s">
        <v>23</v>
      </c>
      <c r="L153" s="1" t="s">
        <v>46</v>
      </c>
      <c r="M153" s="2" t="s">
        <v>935</v>
      </c>
    </row>
    <row r="154">
      <c r="A154" s="1" t="s">
        <v>936</v>
      </c>
      <c r="B154" s="1" t="s">
        <v>937</v>
      </c>
      <c r="C154" s="2" t="s">
        <v>938</v>
      </c>
      <c r="D154" s="2" t="s">
        <v>939</v>
      </c>
      <c r="E154" s="1" t="s">
        <v>200</v>
      </c>
      <c r="F154" s="2" t="s">
        <v>940</v>
      </c>
      <c r="G154" s="2" t="s">
        <v>63</v>
      </c>
      <c r="H154" s="2" t="s">
        <v>54</v>
      </c>
      <c r="I154" s="1" t="s">
        <v>65</v>
      </c>
      <c r="J154" s="1" t="s">
        <v>22</v>
      </c>
      <c r="K154" s="1" t="s">
        <v>23</v>
      </c>
      <c r="L154" s="1" t="s">
        <v>46</v>
      </c>
      <c r="M154" s="2" t="s">
        <v>941</v>
      </c>
    </row>
    <row r="155">
      <c r="A155" s="1" t="s">
        <v>942</v>
      </c>
      <c r="B155" s="1" t="s">
        <v>943</v>
      </c>
      <c r="C155" s="2" t="s">
        <v>944</v>
      </c>
      <c r="D155" s="2" t="s">
        <v>945</v>
      </c>
      <c r="E155" s="1" t="s">
        <v>30</v>
      </c>
      <c r="F155" s="2" t="s">
        <v>946</v>
      </c>
      <c r="G155" s="2" t="s">
        <v>32</v>
      </c>
      <c r="H155" s="2" t="s">
        <v>483</v>
      </c>
      <c r="I155" s="1" t="s">
        <v>21</v>
      </c>
      <c r="J155" s="1" t="s">
        <v>56</v>
      </c>
      <c r="K155" s="1" t="s">
        <v>88</v>
      </c>
      <c r="L155" s="1" t="s">
        <v>46</v>
      </c>
      <c r="M155" s="2" t="s">
        <v>947</v>
      </c>
    </row>
    <row r="156">
      <c r="A156" s="1" t="s">
        <v>948</v>
      </c>
      <c r="B156" s="1" t="s">
        <v>949</v>
      </c>
      <c r="C156" s="2" t="s">
        <v>611</v>
      </c>
      <c r="D156" s="2" t="s">
        <v>950</v>
      </c>
      <c r="E156" s="1" t="s">
        <v>17</v>
      </c>
      <c r="F156" s="2" t="s">
        <v>951</v>
      </c>
      <c r="G156" s="2" t="s">
        <v>44</v>
      </c>
      <c r="H156" s="2" t="s">
        <v>128</v>
      </c>
      <c r="I156" s="1" t="s">
        <v>34</v>
      </c>
      <c r="J156" s="1" t="s">
        <v>45</v>
      </c>
      <c r="K156" s="1" t="s">
        <v>23</v>
      </c>
      <c r="L156" s="1" t="s">
        <v>46</v>
      </c>
      <c r="M156" s="2" t="s">
        <v>952</v>
      </c>
    </row>
    <row r="157">
      <c r="A157" s="1" t="s">
        <v>953</v>
      </c>
      <c r="B157" s="1" t="s">
        <v>954</v>
      </c>
      <c r="C157" s="2" t="s">
        <v>938</v>
      </c>
      <c r="D157" s="2" t="s">
        <v>955</v>
      </c>
      <c r="E157" s="1" t="s">
        <v>52</v>
      </c>
      <c r="F157" s="2" t="s">
        <v>956</v>
      </c>
      <c r="G157" s="2" t="s">
        <v>32</v>
      </c>
      <c r="H157" s="2" t="s">
        <v>33</v>
      </c>
      <c r="I157" s="1" t="s">
        <v>21</v>
      </c>
      <c r="J157" s="1" t="s">
        <v>73</v>
      </c>
      <c r="K157" s="1" t="s">
        <v>88</v>
      </c>
      <c r="L157" s="1" t="s">
        <v>24</v>
      </c>
      <c r="M157" s="2" t="s">
        <v>957</v>
      </c>
    </row>
    <row r="158">
      <c r="A158" s="1" t="s">
        <v>958</v>
      </c>
      <c r="B158" s="1" t="s">
        <v>959</v>
      </c>
      <c r="C158" s="2" t="s">
        <v>960</v>
      </c>
      <c r="D158" s="2" t="s">
        <v>961</v>
      </c>
      <c r="E158" s="1" t="s">
        <v>52</v>
      </c>
      <c r="F158" s="2" t="s">
        <v>962</v>
      </c>
      <c r="G158" s="2" t="s">
        <v>44</v>
      </c>
      <c r="H158" s="2" t="s">
        <v>345</v>
      </c>
      <c r="I158" s="1" t="s">
        <v>55</v>
      </c>
      <c r="J158" s="1" t="s">
        <v>73</v>
      </c>
      <c r="K158" s="1" t="s">
        <v>121</v>
      </c>
      <c r="L158" s="1" t="s">
        <v>24</v>
      </c>
      <c r="M158" s="2" t="s">
        <v>963</v>
      </c>
    </row>
    <row r="159">
      <c r="A159" s="1" t="s">
        <v>964</v>
      </c>
      <c r="B159" s="1" t="s">
        <v>965</v>
      </c>
      <c r="C159" s="2" t="s">
        <v>534</v>
      </c>
      <c r="D159" s="2" t="s">
        <v>966</v>
      </c>
      <c r="E159" s="1" t="s">
        <v>42</v>
      </c>
      <c r="F159" s="2" t="s">
        <v>967</v>
      </c>
      <c r="G159" s="2" t="s">
        <v>32</v>
      </c>
      <c r="H159" s="2" t="s">
        <v>64</v>
      </c>
      <c r="I159" s="1" t="s">
        <v>65</v>
      </c>
      <c r="J159" s="1" t="s">
        <v>56</v>
      </c>
      <c r="K159" s="1" t="s">
        <v>23</v>
      </c>
      <c r="L159" s="1" t="s">
        <v>24</v>
      </c>
      <c r="M159" s="2" t="s">
        <v>968</v>
      </c>
    </row>
    <row r="160">
      <c r="A160" s="1" t="s">
        <v>969</v>
      </c>
      <c r="B160" s="1" t="s">
        <v>970</v>
      </c>
      <c r="C160" s="2" t="s">
        <v>60</v>
      </c>
      <c r="D160" s="2" t="s">
        <v>971</v>
      </c>
      <c r="E160" s="1" t="s">
        <v>42</v>
      </c>
      <c r="F160" s="2" t="s">
        <v>972</v>
      </c>
      <c r="G160" s="2" t="s">
        <v>44</v>
      </c>
      <c r="H160" s="2" t="s">
        <v>194</v>
      </c>
      <c r="I160" s="1" t="s">
        <v>21</v>
      </c>
      <c r="J160" s="1" t="s">
        <v>73</v>
      </c>
      <c r="K160" s="1" t="s">
        <v>88</v>
      </c>
      <c r="L160" s="1" t="s">
        <v>46</v>
      </c>
      <c r="M160" s="2" t="s">
        <v>973</v>
      </c>
    </row>
    <row r="161">
      <c r="A161" s="1" t="s">
        <v>974</v>
      </c>
      <c r="B161" s="1" t="s">
        <v>975</v>
      </c>
      <c r="C161" s="2" t="s">
        <v>976</v>
      </c>
      <c r="D161" s="2" t="s">
        <v>977</v>
      </c>
      <c r="E161" s="1" t="s">
        <v>200</v>
      </c>
      <c r="F161" s="2" t="s">
        <v>978</v>
      </c>
      <c r="G161" s="2" t="s">
        <v>44</v>
      </c>
      <c r="H161" s="2" t="s">
        <v>345</v>
      </c>
      <c r="I161" s="1" t="s">
        <v>34</v>
      </c>
      <c r="J161" s="1" t="s">
        <v>73</v>
      </c>
      <c r="K161" s="1" t="s">
        <v>23</v>
      </c>
      <c r="L161" s="1" t="s">
        <v>24</v>
      </c>
      <c r="M161" s="2" t="s">
        <v>979</v>
      </c>
    </row>
    <row r="162">
      <c r="A162" s="1" t="s">
        <v>980</v>
      </c>
      <c r="B162" s="1" t="s">
        <v>981</v>
      </c>
      <c r="C162" s="2" t="s">
        <v>754</v>
      </c>
      <c r="D162" s="2" t="s">
        <v>982</v>
      </c>
      <c r="E162" s="1" t="s">
        <v>42</v>
      </c>
      <c r="F162" s="2" t="s">
        <v>983</v>
      </c>
      <c r="G162" s="2" t="s">
        <v>32</v>
      </c>
      <c r="H162" s="2" t="s">
        <v>141</v>
      </c>
      <c r="I162" s="1" t="s">
        <v>34</v>
      </c>
      <c r="J162" s="1" t="s">
        <v>56</v>
      </c>
      <c r="K162" s="1" t="s">
        <v>35</v>
      </c>
      <c r="L162" s="1" t="s">
        <v>46</v>
      </c>
      <c r="M162" s="2" t="s">
        <v>984</v>
      </c>
    </row>
    <row r="163">
      <c r="A163" s="1" t="s">
        <v>985</v>
      </c>
      <c r="B163" s="1" t="s">
        <v>986</v>
      </c>
      <c r="C163" s="2" t="s">
        <v>987</v>
      </c>
      <c r="D163" s="2" t="s">
        <v>988</v>
      </c>
      <c r="E163" s="1" t="s">
        <v>42</v>
      </c>
      <c r="F163" s="2" t="s">
        <v>989</v>
      </c>
      <c r="G163" s="2" t="s">
        <v>63</v>
      </c>
      <c r="H163" s="2" t="s">
        <v>141</v>
      </c>
      <c r="I163" s="1" t="s">
        <v>55</v>
      </c>
      <c r="J163" s="1" t="s">
        <v>22</v>
      </c>
      <c r="K163" s="1" t="s">
        <v>23</v>
      </c>
      <c r="L163" s="1" t="s">
        <v>46</v>
      </c>
      <c r="M163" s="2" t="s">
        <v>990</v>
      </c>
    </row>
    <row r="164">
      <c r="A164" s="1" t="s">
        <v>991</v>
      </c>
      <c r="B164" s="1" t="s">
        <v>992</v>
      </c>
      <c r="C164" s="2" t="s">
        <v>993</v>
      </c>
      <c r="D164" s="2" t="s">
        <v>994</v>
      </c>
      <c r="E164" s="1" t="s">
        <v>42</v>
      </c>
      <c r="F164" s="2" t="s">
        <v>995</v>
      </c>
      <c r="G164" s="2" t="s">
        <v>44</v>
      </c>
      <c r="H164" s="2" t="s">
        <v>72</v>
      </c>
      <c r="I164" s="1" t="s">
        <v>21</v>
      </c>
      <c r="J164" s="1" t="s">
        <v>56</v>
      </c>
      <c r="K164" s="1" t="s">
        <v>23</v>
      </c>
      <c r="L164" s="1" t="s">
        <v>46</v>
      </c>
      <c r="M164" s="2" t="s">
        <v>996</v>
      </c>
    </row>
    <row r="165">
      <c r="A165" s="1" t="s">
        <v>997</v>
      </c>
      <c r="B165" s="1" t="s">
        <v>998</v>
      </c>
      <c r="C165" s="2" t="s">
        <v>999</v>
      </c>
      <c r="D165" s="2" t="s">
        <v>1000</v>
      </c>
      <c r="E165" s="1" t="s">
        <v>42</v>
      </c>
      <c r="F165" s="2" t="s">
        <v>1001</v>
      </c>
      <c r="G165" s="2" t="s">
        <v>19</v>
      </c>
      <c r="H165" s="2" t="s">
        <v>128</v>
      </c>
      <c r="I165" s="1" t="s">
        <v>21</v>
      </c>
      <c r="J165" s="1" t="s">
        <v>22</v>
      </c>
      <c r="K165" s="1" t="s">
        <v>121</v>
      </c>
      <c r="L165" s="1" t="s">
        <v>24</v>
      </c>
      <c r="M165" s="2" t="s">
        <v>1002</v>
      </c>
    </row>
    <row r="166">
      <c r="A166" s="1" t="s">
        <v>1003</v>
      </c>
      <c r="B166" s="1" t="s">
        <v>1004</v>
      </c>
      <c r="C166" s="2" t="s">
        <v>1005</v>
      </c>
      <c r="D166" s="2" t="s">
        <v>1006</v>
      </c>
      <c r="E166" s="1" t="s">
        <v>52</v>
      </c>
      <c r="F166" s="2" t="s">
        <v>1007</v>
      </c>
      <c r="G166" s="2" t="s">
        <v>32</v>
      </c>
      <c r="H166" s="2" t="s">
        <v>64</v>
      </c>
      <c r="I166" s="1" t="s">
        <v>21</v>
      </c>
      <c r="J166" s="1" t="s">
        <v>73</v>
      </c>
      <c r="K166" s="1" t="s">
        <v>81</v>
      </c>
      <c r="L166" s="1" t="s">
        <v>46</v>
      </c>
      <c r="M166" s="2" t="s">
        <v>1008</v>
      </c>
    </row>
    <row r="167">
      <c r="A167" s="1" t="s">
        <v>1009</v>
      </c>
      <c r="B167" s="1" t="s">
        <v>1010</v>
      </c>
      <c r="C167" s="2" t="s">
        <v>789</v>
      </c>
      <c r="D167" s="2" t="s">
        <v>1011</v>
      </c>
      <c r="E167" s="1" t="s">
        <v>52</v>
      </c>
      <c r="F167" s="2" t="s">
        <v>1012</v>
      </c>
      <c r="G167" s="2" t="s">
        <v>19</v>
      </c>
      <c r="H167" s="2" t="s">
        <v>20</v>
      </c>
      <c r="I167" s="1" t="s">
        <v>34</v>
      </c>
      <c r="J167" s="1" t="s">
        <v>73</v>
      </c>
      <c r="K167" s="1" t="s">
        <v>121</v>
      </c>
      <c r="L167" s="1" t="s">
        <v>36</v>
      </c>
      <c r="M167" s="2" t="s">
        <v>1013</v>
      </c>
    </row>
    <row r="168">
      <c r="A168" s="1" t="s">
        <v>1014</v>
      </c>
      <c r="B168" s="1" t="s">
        <v>1015</v>
      </c>
      <c r="C168" s="2" t="s">
        <v>1016</v>
      </c>
      <c r="D168" s="2" t="s">
        <v>1017</v>
      </c>
      <c r="E168" s="1" t="s">
        <v>17</v>
      </c>
      <c r="F168" s="2" t="s">
        <v>1018</v>
      </c>
      <c r="G168" s="2" t="s">
        <v>44</v>
      </c>
      <c r="H168" s="2" t="s">
        <v>214</v>
      </c>
      <c r="I168" s="1" t="s">
        <v>55</v>
      </c>
      <c r="J168" s="1" t="s">
        <v>22</v>
      </c>
      <c r="K168" s="1" t="s">
        <v>88</v>
      </c>
      <c r="L168" s="1" t="s">
        <v>24</v>
      </c>
      <c r="M168" s="2" t="s">
        <v>1019</v>
      </c>
    </row>
    <row r="169">
      <c r="A169" s="1" t="s">
        <v>1020</v>
      </c>
      <c r="B169" s="1" t="s">
        <v>1021</v>
      </c>
      <c r="C169" s="2" t="s">
        <v>1022</v>
      </c>
      <c r="D169" s="2" t="s">
        <v>1023</v>
      </c>
      <c r="E169" s="1" t="s">
        <v>52</v>
      </c>
      <c r="F169" s="2" t="s">
        <v>1024</v>
      </c>
      <c r="G169" s="2" t="s">
        <v>44</v>
      </c>
      <c r="H169" s="2" t="s">
        <v>54</v>
      </c>
      <c r="I169" s="1" t="s">
        <v>34</v>
      </c>
      <c r="J169" s="1" t="s">
        <v>56</v>
      </c>
      <c r="K169" s="1" t="s">
        <v>23</v>
      </c>
      <c r="L169" s="1" t="s">
        <v>24</v>
      </c>
      <c r="M169" s="2" t="s">
        <v>1025</v>
      </c>
    </row>
    <row r="170">
      <c r="A170" s="1" t="s">
        <v>1026</v>
      </c>
      <c r="B170" s="1" t="s">
        <v>1027</v>
      </c>
      <c r="C170" s="2" t="s">
        <v>868</v>
      </c>
      <c r="D170" s="2" t="s">
        <v>1028</v>
      </c>
      <c r="E170" s="1" t="s">
        <v>42</v>
      </c>
      <c r="F170" s="2" t="s">
        <v>1029</v>
      </c>
      <c r="G170" s="2" t="s">
        <v>32</v>
      </c>
      <c r="H170" s="2" t="s">
        <v>95</v>
      </c>
      <c r="I170" s="1" t="s">
        <v>55</v>
      </c>
      <c r="J170" s="1" t="s">
        <v>73</v>
      </c>
      <c r="K170" s="1" t="s">
        <v>81</v>
      </c>
      <c r="L170" s="1" t="s">
        <v>46</v>
      </c>
      <c r="M170" s="2" t="s">
        <v>1030</v>
      </c>
    </row>
    <row r="171">
      <c r="A171" s="1" t="s">
        <v>1031</v>
      </c>
      <c r="B171" s="1" t="s">
        <v>1032</v>
      </c>
      <c r="C171" s="2" t="s">
        <v>1033</v>
      </c>
      <c r="D171" s="2" t="s">
        <v>1034</v>
      </c>
      <c r="E171" s="1" t="s">
        <v>200</v>
      </c>
      <c r="F171" s="2" t="s">
        <v>1035</v>
      </c>
      <c r="G171" s="2" t="s">
        <v>19</v>
      </c>
      <c r="H171" s="2" t="s">
        <v>64</v>
      </c>
      <c r="I171" s="1" t="s">
        <v>21</v>
      </c>
      <c r="J171" s="1" t="s">
        <v>73</v>
      </c>
      <c r="K171" s="1" t="s">
        <v>35</v>
      </c>
      <c r="L171" s="1" t="s">
        <v>36</v>
      </c>
      <c r="M171" s="2" t="s">
        <v>1036</v>
      </c>
    </row>
    <row r="172">
      <c r="A172" s="1" t="s">
        <v>1037</v>
      </c>
      <c r="B172" s="1" t="s">
        <v>1038</v>
      </c>
      <c r="C172" s="2" t="s">
        <v>1039</v>
      </c>
      <c r="D172" s="2" t="s">
        <v>1040</v>
      </c>
      <c r="E172" s="1" t="s">
        <v>30</v>
      </c>
      <c r="F172" s="2" t="s">
        <v>1041</v>
      </c>
      <c r="G172" s="2" t="s">
        <v>44</v>
      </c>
      <c r="H172" s="2" t="s">
        <v>326</v>
      </c>
      <c r="I172" s="1" t="s">
        <v>55</v>
      </c>
      <c r="J172" s="1" t="s">
        <v>56</v>
      </c>
      <c r="K172" s="1" t="s">
        <v>81</v>
      </c>
      <c r="L172" s="1" t="s">
        <v>36</v>
      </c>
      <c r="M172" s="2" t="s">
        <v>1042</v>
      </c>
    </row>
    <row r="173">
      <c r="A173" s="1" t="s">
        <v>1043</v>
      </c>
      <c r="B173" s="1" t="s">
        <v>1044</v>
      </c>
      <c r="C173" s="2" t="s">
        <v>1045</v>
      </c>
      <c r="D173" s="2" t="s">
        <v>1046</v>
      </c>
      <c r="E173" s="1" t="s">
        <v>52</v>
      </c>
      <c r="F173" s="2" t="s">
        <v>1047</v>
      </c>
      <c r="G173" s="2" t="s">
        <v>19</v>
      </c>
      <c r="H173" s="2" t="s">
        <v>80</v>
      </c>
      <c r="I173" s="1" t="s">
        <v>34</v>
      </c>
      <c r="J173" s="1" t="s">
        <v>73</v>
      </c>
      <c r="K173" s="1" t="s">
        <v>35</v>
      </c>
      <c r="L173" s="1" t="s">
        <v>24</v>
      </c>
      <c r="M173" s="2" t="s">
        <v>1048</v>
      </c>
    </row>
    <row r="174">
      <c r="A174" s="1" t="s">
        <v>1049</v>
      </c>
      <c r="B174" s="1" t="s">
        <v>1050</v>
      </c>
      <c r="C174" s="2" t="s">
        <v>1051</v>
      </c>
      <c r="D174" s="2" t="s">
        <v>1052</v>
      </c>
      <c r="E174" s="1" t="s">
        <v>200</v>
      </c>
      <c r="F174" s="2" t="s">
        <v>1053</v>
      </c>
      <c r="G174" s="2" t="s">
        <v>63</v>
      </c>
      <c r="H174" s="2" t="s">
        <v>483</v>
      </c>
      <c r="I174" s="1" t="s">
        <v>34</v>
      </c>
      <c r="J174" s="1" t="s">
        <v>22</v>
      </c>
      <c r="K174" s="1" t="s">
        <v>121</v>
      </c>
      <c r="L174" s="1" t="s">
        <v>24</v>
      </c>
      <c r="M174" s="2" t="s">
        <v>1054</v>
      </c>
    </row>
    <row r="175">
      <c r="A175" s="1" t="s">
        <v>1055</v>
      </c>
      <c r="B175" s="1" t="s">
        <v>1056</v>
      </c>
      <c r="C175" s="2" t="s">
        <v>191</v>
      </c>
      <c r="D175" s="2" t="s">
        <v>1057</v>
      </c>
      <c r="E175" s="1" t="s">
        <v>52</v>
      </c>
      <c r="F175" s="2" t="s">
        <v>1058</v>
      </c>
      <c r="G175" s="2" t="s">
        <v>32</v>
      </c>
      <c r="H175" s="2" t="s">
        <v>64</v>
      </c>
      <c r="I175" s="1" t="s">
        <v>21</v>
      </c>
      <c r="J175" s="1" t="s">
        <v>73</v>
      </c>
      <c r="K175" s="1" t="s">
        <v>81</v>
      </c>
      <c r="L175" s="1" t="s">
        <v>24</v>
      </c>
      <c r="M175" s="2" t="s">
        <v>1059</v>
      </c>
    </row>
    <row r="176">
      <c r="A176" s="1" t="s">
        <v>1060</v>
      </c>
      <c r="B176" s="1" t="s">
        <v>1061</v>
      </c>
      <c r="C176" s="2" t="s">
        <v>40</v>
      </c>
      <c r="D176" s="2" t="s">
        <v>1062</v>
      </c>
      <c r="E176" s="1" t="s">
        <v>52</v>
      </c>
      <c r="F176" s="2" t="s">
        <v>1063</v>
      </c>
      <c r="G176" s="2" t="s">
        <v>44</v>
      </c>
      <c r="H176" s="2" t="s">
        <v>214</v>
      </c>
      <c r="I176" s="1" t="s">
        <v>21</v>
      </c>
      <c r="J176" s="1" t="s">
        <v>73</v>
      </c>
      <c r="K176" s="1" t="s">
        <v>88</v>
      </c>
      <c r="L176" s="1" t="s">
        <v>46</v>
      </c>
      <c r="M176" s="2" t="s">
        <v>1064</v>
      </c>
    </row>
    <row r="177">
      <c r="A177" s="1" t="s">
        <v>1065</v>
      </c>
      <c r="B177" s="1" t="s">
        <v>1066</v>
      </c>
      <c r="C177" s="2" t="s">
        <v>1067</v>
      </c>
      <c r="D177" s="2" t="s">
        <v>1068</v>
      </c>
      <c r="E177" s="1" t="s">
        <v>17</v>
      </c>
      <c r="F177" s="2" t="s">
        <v>1069</v>
      </c>
      <c r="G177" s="2" t="s">
        <v>32</v>
      </c>
      <c r="H177" s="2" t="s">
        <v>141</v>
      </c>
      <c r="I177" s="1" t="s">
        <v>55</v>
      </c>
      <c r="J177" s="1" t="s">
        <v>73</v>
      </c>
      <c r="K177" s="1" t="s">
        <v>88</v>
      </c>
      <c r="L177" s="1" t="s">
        <v>36</v>
      </c>
      <c r="M177" s="2" t="s">
        <v>1070</v>
      </c>
    </row>
    <row r="178">
      <c r="A178" s="1" t="s">
        <v>1071</v>
      </c>
      <c r="B178" s="1" t="s">
        <v>1072</v>
      </c>
      <c r="C178" s="2" t="s">
        <v>1073</v>
      </c>
      <c r="D178" s="2" t="s">
        <v>1074</v>
      </c>
      <c r="E178" s="1" t="s">
        <v>52</v>
      </c>
      <c r="F178" s="2" t="s">
        <v>1075</v>
      </c>
      <c r="G178" s="2" t="s">
        <v>19</v>
      </c>
      <c r="H178" s="2" t="s">
        <v>72</v>
      </c>
      <c r="I178" s="1" t="s">
        <v>21</v>
      </c>
      <c r="J178" s="1" t="s">
        <v>22</v>
      </c>
      <c r="K178" s="1" t="s">
        <v>81</v>
      </c>
      <c r="L178" s="1" t="s">
        <v>24</v>
      </c>
      <c r="M178" s="2" t="s">
        <v>1076</v>
      </c>
    </row>
    <row r="179">
      <c r="A179" s="1" t="s">
        <v>1077</v>
      </c>
      <c r="B179" s="1" t="s">
        <v>1078</v>
      </c>
      <c r="C179" s="2" t="s">
        <v>800</v>
      </c>
      <c r="D179" s="2" t="s">
        <v>1079</v>
      </c>
      <c r="E179" s="1" t="s">
        <v>52</v>
      </c>
      <c r="F179" s="2" t="s">
        <v>1080</v>
      </c>
      <c r="G179" s="2" t="s">
        <v>32</v>
      </c>
      <c r="H179" s="2" t="s">
        <v>80</v>
      </c>
      <c r="I179" s="1" t="s">
        <v>34</v>
      </c>
      <c r="J179" s="1" t="s">
        <v>45</v>
      </c>
      <c r="K179" s="1" t="s">
        <v>81</v>
      </c>
      <c r="L179" s="1" t="s">
        <v>36</v>
      </c>
      <c r="M179" s="2" t="s">
        <v>1081</v>
      </c>
    </row>
    <row r="180">
      <c r="A180" s="1" t="s">
        <v>1082</v>
      </c>
      <c r="B180" s="1" t="s">
        <v>1083</v>
      </c>
      <c r="C180" s="2" t="s">
        <v>1084</v>
      </c>
      <c r="D180" s="2" t="s">
        <v>1085</v>
      </c>
      <c r="E180" s="1" t="s">
        <v>52</v>
      </c>
      <c r="F180" s="2" t="s">
        <v>1086</v>
      </c>
      <c r="G180" s="2" t="s">
        <v>19</v>
      </c>
      <c r="H180" s="2" t="s">
        <v>80</v>
      </c>
      <c r="I180" s="1" t="s">
        <v>34</v>
      </c>
      <c r="J180" s="1" t="s">
        <v>45</v>
      </c>
      <c r="K180" s="1" t="s">
        <v>88</v>
      </c>
      <c r="L180" s="1" t="s">
        <v>24</v>
      </c>
      <c r="M180" s="2" t="s">
        <v>1087</v>
      </c>
    </row>
    <row r="181">
      <c r="A181" s="1" t="s">
        <v>1088</v>
      </c>
      <c r="B181" s="1" t="s">
        <v>1089</v>
      </c>
      <c r="C181" s="2" t="s">
        <v>69</v>
      </c>
      <c r="D181" s="2" t="s">
        <v>1090</v>
      </c>
      <c r="E181" s="1" t="s">
        <v>17</v>
      </c>
      <c r="F181" s="2" t="s">
        <v>1091</v>
      </c>
      <c r="G181" s="2" t="s">
        <v>19</v>
      </c>
      <c r="H181" s="2" t="s">
        <v>80</v>
      </c>
      <c r="I181" s="1" t="s">
        <v>55</v>
      </c>
      <c r="J181" s="1" t="s">
        <v>22</v>
      </c>
      <c r="K181" s="1" t="s">
        <v>35</v>
      </c>
      <c r="L181" s="1" t="s">
        <v>46</v>
      </c>
      <c r="M181" s="2" t="s">
        <v>1092</v>
      </c>
    </row>
    <row r="182">
      <c r="A182" s="1" t="s">
        <v>1093</v>
      </c>
      <c r="B182" s="1" t="s">
        <v>1094</v>
      </c>
      <c r="C182" s="2" t="s">
        <v>480</v>
      </c>
      <c r="D182" s="2" t="s">
        <v>1095</v>
      </c>
      <c r="E182" s="1" t="s">
        <v>30</v>
      </c>
      <c r="F182" s="2" t="s">
        <v>1096</v>
      </c>
      <c r="G182" s="2" t="s">
        <v>63</v>
      </c>
      <c r="H182" s="2" t="s">
        <v>518</v>
      </c>
      <c r="I182" s="1" t="s">
        <v>55</v>
      </c>
      <c r="J182" s="1" t="s">
        <v>22</v>
      </c>
      <c r="K182" s="1" t="s">
        <v>88</v>
      </c>
      <c r="L182" s="1" t="s">
        <v>24</v>
      </c>
      <c r="M182" s="2" t="s">
        <v>1097</v>
      </c>
    </row>
    <row r="183">
      <c r="A183" s="1" t="s">
        <v>1098</v>
      </c>
      <c r="B183" s="1" t="s">
        <v>1099</v>
      </c>
      <c r="C183" s="2" t="s">
        <v>1100</v>
      </c>
      <c r="D183" s="2" t="s">
        <v>1101</v>
      </c>
      <c r="E183" s="1" t="s">
        <v>30</v>
      </c>
      <c r="F183" s="2" t="s">
        <v>1102</v>
      </c>
      <c r="G183" s="2" t="s">
        <v>32</v>
      </c>
      <c r="H183" s="2" t="s">
        <v>141</v>
      </c>
      <c r="I183" s="1" t="s">
        <v>65</v>
      </c>
      <c r="J183" s="1" t="s">
        <v>73</v>
      </c>
      <c r="K183" s="1" t="s">
        <v>81</v>
      </c>
      <c r="L183" s="1" t="s">
        <v>36</v>
      </c>
      <c r="M183" s="2" t="s">
        <v>1103</v>
      </c>
    </row>
    <row r="184">
      <c r="A184" s="1" t="s">
        <v>1104</v>
      </c>
      <c r="B184" s="1" t="s">
        <v>1105</v>
      </c>
      <c r="C184" s="2" t="s">
        <v>1106</v>
      </c>
      <c r="D184" s="2" t="s">
        <v>1107</v>
      </c>
      <c r="E184" s="1" t="s">
        <v>30</v>
      </c>
      <c r="F184" s="2" t="s">
        <v>1108</v>
      </c>
      <c r="G184" s="2" t="s">
        <v>19</v>
      </c>
      <c r="H184" s="2" t="s">
        <v>20</v>
      </c>
      <c r="I184" s="1" t="s">
        <v>55</v>
      </c>
      <c r="J184" s="1" t="s">
        <v>22</v>
      </c>
      <c r="K184" s="1" t="s">
        <v>88</v>
      </c>
      <c r="L184" s="1" t="s">
        <v>36</v>
      </c>
      <c r="M184" s="2" t="s">
        <v>1109</v>
      </c>
    </row>
    <row r="185">
      <c r="A185" s="1" t="s">
        <v>1110</v>
      </c>
      <c r="B185" s="1" t="s">
        <v>1111</v>
      </c>
      <c r="C185" s="2" t="s">
        <v>1112</v>
      </c>
      <c r="D185" s="2" t="s">
        <v>1113</v>
      </c>
      <c r="E185" s="1" t="s">
        <v>52</v>
      </c>
      <c r="F185" s="2" t="s">
        <v>1114</v>
      </c>
      <c r="G185" s="2" t="s">
        <v>32</v>
      </c>
      <c r="H185" s="2" t="s">
        <v>194</v>
      </c>
      <c r="I185" s="1" t="s">
        <v>65</v>
      </c>
      <c r="J185" s="1" t="s">
        <v>22</v>
      </c>
      <c r="K185" s="1" t="s">
        <v>81</v>
      </c>
      <c r="L185" s="1" t="s">
        <v>46</v>
      </c>
      <c r="M185" s="2" t="s">
        <v>1115</v>
      </c>
    </row>
    <row r="186">
      <c r="A186" s="1" t="s">
        <v>1116</v>
      </c>
      <c r="B186" s="1" t="s">
        <v>1117</v>
      </c>
      <c r="C186" s="2" t="s">
        <v>1118</v>
      </c>
      <c r="D186" s="2" t="s">
        <v>1119</v>
      </c>
      <c r="E186" s="1" t="s">
        <v>42</v>
      </c>
      <c r="F186" s="2" t="s">
        <v>1120</v>
      </c>
      <c r="G186" s="2" t="s">
        <v>32</v>
      </c>
      <c r="H186" s="2" t="s">
        <v>80</v>
      </c>
      <c r="I186" s="1" t="s">
        <v>21</v>
      </c>
      <c r="J186" s="1" t="s">
        <v>22</v>
      </c>
      <c r="K186" s="1" t="s">
        <v>121</v>
      </c>
      <c r="L186" s="1" t="s">
        <v>36</v>
      </c>
      <c r="M186" s="2" t="s">
        <v>1121</v>
      </c>
    </row>
    <row r="187">
      <c r="A187" s="1" t="s">
        <v>1122</v>
      </c>
      <c r="B187" s="1" t="s">
        <v>1123</v>
      </c>
      <c r="C187" s="2" t="s">
        <v>868</v>
      </c>
      <c r="D187" s="2" t="s">
        <v>1124</v>
      </c>
      <c r="E187" s="1" t="s">
        <v>30</v>
      </c>
      <c r="F187" s="2" t="s">
        <v>1125</v>
      </c>
      <c r="G187" s="2" t="s">
        <v>32</v>
      </c>
      <c r="H187" s="2" t="s">
        <v>128</v>
      </c>
      <c r="I187" s="1" t="s">
        <v>55</v>
      </c>
      <c r="J187" s="1" t="s">
        <v>45</v>
      </c>
      <c r="K187" s="1" t="s">
        <v>88</v>
      </c>
      <c r="L187" s="1" t="s">
        <v>46</v>
      </c>
      <c r="M187" s="2" t="s">
        <v>1126</v>
      </c>
    </row>
    <row r="188">
      <c r="A188" s="1" t="s">
        <v>1127</v>
      </c>
      <c r="B188" s="1" t="s">
        <v>1128</v>
      </c>
      <c r="C188" s="2" t="s">
        <v>1039</v>
      </c>
      <c r="D188" s="2" t="s">
        <v>1129</v>
      </c>
      <c r="E188" s="1" t="s">
        <v>200</v>
      </c>
      <c r="F188" s="2" t="s">
        <v>1130</v>
      </c>
      <c r="G188" s="2" t="s">
        <v>32</v>
      </c>
      <c r="H188" s="2" t="s">
        <v>345</v>
      </c>
      <c r="I188" s="1" t="s">
        <v>55</v>
      </c>
      <c r="J188" s="1" t="s">
        <v>22</v>
      </c>
      <c r="K188" s="1" t="s">
        <v>88</v>
      </c>
      <c r="L188" s="1" t="s">
        <v>36</v>
      </c>
      <c r="M188" s="2" t="s">
        <v>1131</v>
      </c>
    </row>
    <row r="189">
      <c r="A189" s="1" t="s">
        <v>1132</v>
      </c>
      <c r="B189" s="1" t="s">
        <v>1133</v>
      </c>
      <c r="C189" s="2" t="s">
        <v>1134</v>
      </c>
      <c r="D189" s="2" t="s">
        <v>1135</v>
      </c>
      <c r="E189" s="1" t="s">
        <v>200</v>
      </c>
      <c r="F189" s="2" t="s">
        <v>1018</v>
      </c>
      <c r="G189" s="2" t="s">
        <v>44</v>
      </c>
      <c r="H189" s="2" t="s">
        <v>20</v>
      </c>
      <c r="I189" s="1" t="s">
        <v>65</v>
      </c>
      <c r="J189" s="1" t="s">
        <v>73</v>
      </c>
      <c r="K189" s="1" t="s">
        <v>35</v>
      </c>
      <c r="L189" s="1" t="s">
        <v>46</v>
      </c>
      <c r="M189" s="2" t="s">
        <v>1136</v>
      </c>
    </row>
    <row r="190">
      <c r="A190" s="1" t="s">
        <v>1137</v>
      </c>
      <c r="B190" s="1" t="s">
        <v>1138</v>
      </c>
      <c r="C190" s="2" t="s">
        <v>760</v>
      </c>
      <c r="D190" s="2" t="s">
        <v>1139</v>
      </c>
      <c r="E190" s="1" t="s">
        <v>52</v>
      </c>
      <c r="F190" s="2" t="s">
        <v>1140</v>
      </c>
      <c r="G190" s="2" t="s">
        <v>19</v>
      </c>
      <c r="H190" s="2" t="s">
        <v>483</v>
      </c>
      <c r="I190" s="1" t="s">
        <v>65</v>
      </c>
      <c r="J190" s="1" t="s">
        <v>45</v>
      </c>
      <c r="K190" s="1" t="s">
        <v>88</v>
      </c>
      <c r="L190" s="1" t="s">
        <v>46</v>
      </c>
      <c r="M190" s="2" t="s">
        <v>1141</v>
      </c>
    </row>
    <row r="191">
      <c r="A191" s="1" t="s">
        <v>1142</v>
      </c>
      <c r="B191" s="1" t="s">
        <v>1143</v>
      </c>
      <c r="C191" s="2" t="s">
        <v>1144</v>
      </c>
      <c r="D191" s="2" t="s">
        <v>1145</v>
      </c>
      <c r="E191" s="1" t="s">
        <v>52</v>
      </c>
      <c r="F191" s="2" t="s">
        <v>1146</v>
      </c>
      <c r="G191" s="2" t="s">
        <v>32</v>
      </c>
      <c r="H191" s="2" t="s">
        <v>326</v>
      </c>
      <c r="I191" s="1" t="s">
        <v>55</v>
      </c>
      <c r="J191" s="1" t="s">
        <v>22</v>
      </c>
      <c r="K191" s="1" t="s">
        <v>35</v>
      </c>
      <c r="L191" s="1" t="s">
        <v>36</v>
      </c>
      <c r="M191" s="2" t="s">
        <v>1147</v>
      </c>
    </row>
    <row r="192">
      <c r="A192" s="1" t="s">
        <v>1148</v>
      </c>
      <c r="B192" s="1" t="s">
        <v>1149</v>
      </c>
      <c r="C192" s="2" t="s">
        <v>1150</v>
      </c>
      <c r="D192" s="2" t="s">
        <v>1151</v>
      </c>
      <c r="E192" s="1" t="s">
        <v>30</v>
      </c>
      <c r="F192" s="2" t="s">
        <v>1152</v>
      </c>
      <c r="G192" s="2" t="s">
        <v>44</v>
      </c>
      <c r="H192" s="2" t="s">
        <v>128</v>
      </c>
      <c r="I192" s="1" t="s">
        <v>21</v>
      </c>
      <c r="J192" s="1" t="s">
        <v>22</v>
      </c>
      <c r="K192" s="1" t="s">
        <v>23</v>
      </c>
      <c r="L192" s="1" t="s">
        <v>46</v>
      </c>
      <c r="M192" s="2" t="s">
        <v>1153</v>
      </c>
    </row>
    <row r="193">
      <c r="A193" s="1" t="s">
        <v>1154</v>
      </c>
      <c r="B193" s="1" t="s">
        <v>1155</v>
      </c>
      <c r="C193" s="2" t="s">
        <v>570</v>
      </c>
      <c r="D193" s="2" t="s">
        <v>1156</v>
      </c>
      <c r="E193" s="1" t="s">
        <v>52</v>
      </c>
      <c r="F193" s="2" t="s">
        <v>1157</v>
      </c>
      <c r="G193" s="2" t="s">
        <v>44</v>
      </c>
      <c r="H193" s="2" t="s">
        <v>518</v>
      </c>
      <c r="I193" s="1" t="s">
        <v>21</v>
      </c>
      <c r="J193" s="1" t="s">
        <v>56</v>
      </c>
      <c r="K193" s="1" t="s">
        <v>35</v>
      </c>
      <c r="L193" s="1" t="s">
        <v>46</v>
      </c>
      <c r="M193" s="2" t="s">
        <v>1158</v>
      </c>
    </row>
    <row r="194">
      <c r="A194" s="1" t="s">
        <v>1159</v>
      </c>
      <c r="B194" s="1" t="s">
        <v>1160</v>
      </c>
      <c r="C194" s="2" t="s">
        <v>452</v>
      </c>
      <c r="D194" s="2" t="s">
        <v>1161</v>
      </c>
      <c r="E194" s="1" t="s">
        <v>17</v>
      </c>
      <c r="F194" s="2" t="s">
        <v>1162</v>
      </c>
      <c r="G194" s="2" t="s">
        <v>63</v>
      </c>
      <c r="H194" s="2" t="s">
        <v>214</v>
      </c>
      <c r="I194" s="1" t="s">
        <v>34</v>
      </c>
      <c r="J194" s="1" t="s">
        <v>73</v>
      </c>
      <c r="K194" s="1" t="s">
        <v>35</v>
      </c>
      <c r="L194" s="1" t="s">
        <v>24</v>
      </c>
      <c r="M194" s="2" t="s">
        <v>1163</v>
      </c>
    </row>
    <row r="195">
      <c r="A195" s="1" t="s">
        <v>1164</v>
      </c>
      <c r="B195" s="1" t="s">
        <v>1165</v>
      </c>
      <c r="C195" s="2" t="s">
        <v>1166</v>
      </c>
      <c r="D195" s="2" t="s">
        <v>1167</v>
      </c>
      <c r="E195" s="1" t="s">
        <v>42</v>
      </c>
      <c r="F195" s="2" t="s">
        <v>1168</v>
      </c>
      <c r="G195" s="2" t="s">
        <v>63</v>
      </c>
      <c r="H195" s="2" t="s">
        <v>483</v>
      </c>
      <c r="I195" s="1" t="s">
        <v>21</v>
      </c>
      <c r="J195" s="1" t="s">
        <v>45</v>
      </c>
      <c r="K195" s="1" t="s">
        <v>23</v>
      </c>
      <c r="L195" s="1" t="s">
        <v>36</v>
      </c>
      <c r="M195" s="2" t="s">
        <v>1169</v>
      </c>
    </row>
    <row r="196">
      <c r="A196" s="1" t="s">
        <v>1170</v>
      </c>
      <c r="B196" s="1" t="s">
        <v>1171</v>
      </c>
      <c r="C196" s="2" t="s">
        <v>1172</v>
      </c>
      <c r="D196" s="2" t="s">
        <v>1173</v>
      </c>
      <c r="E196" s="1" t="s">
        <v>42</v>
      </c>
      <c r="F196" s="2" t="s">
        <v>1174</v>
      </c>
      <c r="G196" s="2" t="s">
        <v>32</v>
      </c>
      <c r="H196" s="2" t="s">
        <v>345</v>
      </c>
      <c r="I196" s="1" t="s">
        <v>65</v>
      </c>
      <c r="J196" s="1" t="s">
        <v>73</v>
      </c>
      <c r="K196" s="1" t="s">
        <v>121</v>
      </c>
      <c r="L196" s="1" t="s">
        <v>46</v>
      </c>
      <c r="M196" s="2" t="s">
        <v>1175</v>
      </c>
    </row>
    <row r="197">
      <c r="A197" s="1" t="s">
        <v>1176</v>
      </c>
      <c r="B197" s="1" t="s">
        <v>1177</v>
      </c>
      <c r="C197" s="2" t="s">
        <v>651</v>
      </c>
      <c r="D197" s="2" t="s">
        <v>1178</v>
      </c>
      <c r="E197" s="1" t="s">
        <v>42</v>
      </c>
      <c r="F197" s="2" t="s">
        <v>1179</v>
      </c>
      <c r="G197" s="2" t="s">
        <v>63</v>
      </c>
      <c r="H197" s="2" t="s">
        <v>72</v>
      </c>
      <c r="I197" s="1" t="s">
        <v>21</v>
      </c>
      <c r="J197" s="1" t="s">
        <v>73</v>
      </c>
      <c r="K197" s="1" t="s">
        <v>121</v>
      </c>
      <c r="L197" s="1" t="s">
        <v>36</v>
      </c>
      <c r="M197" s="2" t="s">
        <v>1180</v>
      </c>
    </row>
    <row r="198">
      <c r="A198" s="1" t="s">
        <v>1181</v>
      </c>
      <c r="B198" s="1" t="s">
        <v>1182</v>
      </c>
      <c r="C198" s="2" t="s">
        <v>1183</v>
      </c>
      <c r="D198" s="2" t="s">
        <v>1184</v>
      </c>
      <c r="E198" s="1" t="s">
        <v>30</v>
      </c>
      <c r="F198" s="2" t="s">
        <v>1185</v>
      </c>
      <c r="G198" s="2" t="s">
        <v>44</v>
      </c>
      <c r="H198" s="2" t="s">
        <v>214</v>
      </c>
      <c r="I198" s="1" t="s">
        <v>55</v>
      </c>
      <c r="J198" s="1" t="s">
        <v>56</v>
      </c>
      <c r="K198" s="1" t="s">
        <v>121</v>
      </c>
      <c r="L198" s="1" t="s">
        <v>46</v>
      </c>
      <c r="M198" s="2" t="s">
        <v>1186</v>
      </c>
    </row>
    <row r="199">
      <c r="A199" s="1" t="s">
        <v>1187</v>
      </c>
      <c r="B199" s="1" t="s">
        <v>1188</v>
      </c>
      <c r="C199" s="2" t="s">
        <v>1189</v>
      </c>
      <c r="D199" s="2" t="s">
        <v>1190</v>
      </c>
      <c r="E199" s="1" t="s">
        <v>42</v>
      </c>
      <c r="F199" s="2" t="s">
        <v>1191</v>
      </c>
      <c r="G199" s="2" t="s">
        <v>19</v>
      </c>
      <c r="H199" s="2" t="s">
        <v>345</v>
      </c>
      <c r="I199" s="1" t="s">
        <v>65</v>
      </c>
      <c r="J199" s="1" t="s">
        <v>45</v>
      </c>
      <c r="K199" s="1" t="s">
        <v>81</v>
      </c>
      <c r="L199" s="1" t="s">
        <v>24</v>
      </c>
      <c r="M199" s="2" t="s">
        <v>1192</v>
      </c>
    </row>
    <row r="200">
      <c r="A200" s="1" t="s">
        <v>1193</v>
      </c>
      <c r="B200" s="1" t="s">
        <v>1194</v>
      </c>
      <c r="C200" s="2" t="s">
        <v>1195</v>
      </c>
      <c r="D200" s="2" t="s">
        <v>1196</v>
      </c>
      <c r="E200" s="1" t="s">
        <v>30</v>
      </c>
      <c r="F200" s="2" t="s">
        <v>1197</v>
      </c>
      <c r="G200" s="2" t="s">
        <v>32</v>
      </c>
      <c r="H200" s="2" t="s">
        <v>54</v>
      </c>
      <c r="I200" s="1" t="s">
        <v>65</v>
      </c>
      <c r="J200" s="1" t="s">
        <v>56</v>
      </c>
      <c r="K200" s="1" t="s">
        <v>23</v>
      </c>
      <c r="L200" s="1" t="s">
        <v>46</v>
      </c>
      <c r="M200" s="2" t="s">
        <v>1198</v>
      </c>
    </row>
    <row r="201">
      <c r="A201" s="1" t="s">
        <v>1199</v>
      </c>
      <c r="B201" s="1" t="s">
        <v>1200</v>
      </c>
      <c r="C201" s="2" t="s">
        <v>1201</v>
      </c>
      <c r="D201" s="2" t="s">
        <v>1202</v>
      </c>
      <c r="E201" s="1" t="s">
        <v>200</v>
      </c>
      <c r="F201" s="2" t="s">
        <v>1203</v>
      </c>
      <c r="G201" s="2" t="s">
        <v>63</v>
      </c>
      <c r="H201" s="2" t="s">
        <v>95</v>
      </c>
      <c r="I201" s="1" t="s">
        <v>65</v>
      </c>
      <c r="J201" s="1" t="s">
        <v>22</v>
      </c>
      <c r="K201" s="1" t="s">
        <v>35</v>
      </c>
      <c r="L201" s="1" t="s">
        <v>24</v>
      </c>
      <c r="M201" s="2" t="s">
        <v>1204</v>
      </c>
    </row>
    <row r="202">
      <c r="A202" s="1" t="s">
        <v>1205</v>
      </c>
      <c r="B202" s="1" t="s">
        <v>1206</v>
      </c>
      <c r="C202" s="2" t="s">
        <v>1207</v>
      </c>
      <c r="D202" s="2" t="s">
        <v>1208</v>
      </c>
      <c r="E202" s="1" t="s">
        <v>42</v>
      </c>
      <c r="F202" s="2" t="s">
        <v>1209</v>
      </c>
      <c r="G202" s="2" t="s">
        <v>19</v>
      </c>
      <c r="H202" s="2" t="s">
        <v>128</v>
      </c>
      <c r="I202" s="1" t="s">
        <v>65</v>
      </c>
      <c r="J202" s="1" t="s">
        <v>56</v>
      </c>
      <c r="K202" s="1" t="s">
        <v>35</v>
      </c>
      <c r="L202" s="1" t="s">
        <v>24</v>
      </c>
      <c r="M202" s="2" t="s">
        <v>1210</v>
      </c>
    </row>
    <row r="203">
      <c r="A203" s="1" t="s">
        <v>1211</v>
      </c>
      <c r="B203" s="1" t="s">
        <v>1212</v>
      </c>
      <c r="C203" s="2" t="s">
        <v>1213</v>
      </c>
      <c r="D203" s="2" t="s">
        <v>1214</v>
      </c>
      <c r="E203" s="1" t="s">
        <v>52</v>
      </c>
      <c r="F203" s="2" t="s">
        <v>1215</v>
      </c>
      <c r="G203" s="2" t="s">
        <v>44</v>
      </c>
      <c r="H203" s="2" t="s">
        <v>33</v>
      </c>
      <c r="I203" s="1" t="s">
        <v>34</v>
      </c>
      <c r="J203" s="1" t="s">
        <v>56</v>
      </c>
      <c r="K203" s="1" t="s">
        <v>88</v>
      </c>
      <c r="L203" s="1" t="s">
        <v>36</v>
      </c>
      <c r="M203" s="2" t="s">
        <v>1216</v>
      </c>
    </row>
    <row r="204">
      <c r="A204" s="1" t="s">
        <v>1217</v>
      </c>
      <c r="B204" s="1" t="s">
        <v>1218</v>
      </c>
      <c r="C204" s="2" t="s">
        <v>1219</v>
      </c>
      <c r="D204" s="2" t="s">
        <v>1220</v>
      </c>
      <c r="E204" s="1" t="s">
        <v>200</v>
      </c>
      <c r="F204" s="2" t="s">
        <v>1221</v>
      </c>
      <c r="G204" s="2" t="s">
        <v>63</v>
      </c>
      <c r="H204" s="2" t="s">
        <v>483</v>
      </c>
      <c r="I204" s="1" t="s">
        <v>21</v>
      </c>
      <c r="J204" s="1" t="s">
        <v>73</v>
      </c>
      <c r="K204" s="1" t="s">
        <v>81</v>
      </c>
      <c r="L204" s="1" t="s">
        <v>46</v>
      </c>
      <c r="M204" s="2" t="s">
        <v>1222</v>
      </c>
    </row>
    <row r="205">
      <c r="A205" s="1" t="s">
        <v>1223</v>
      </c>
      <c r="B205" s="1" t="s">
        <v>1224</v>
      </c>
      <c r="C205" s="2" t="s">
        <v>1225</v>
      </c>
      <c r="D205" s="2" t="s">
        <v>1226</v>
      </c>
      <c r="E205" s="1" t="s">
        <v>42</v>
      </c>
      <c r="F205" s="2" t="s">
        <v>1227</v>
      </c>
      <c r="G205" s="2" t="s">
        <v>32</v>
      </c>
      <c r="H205" s="2" t="s">
        <v>95</v>
      </c>
      <c r="I205" s="1" t="s">
        <v>65</v>
      </c>
      <c r="J205" s="1" t="s">
        <v>73</v>
      </c>
      <c r="K205" s="1" t="s">
        <v>81</v>
      </c>
      <c r="L205" s="1" t="s">
        <v>24</v>
      </c>
      <c r="M205" s="2" t="s">
        <v>1228</v>
      </c>
    </row>
    <row r="206">
      <c r="A206" s="1" t="s">
        <v>1229</v>
      </c>
      <c r="B206" s="1" t="s">
        <v>1230</v>
      </c>
      <c r="C206" s="2" t="s">
        <v>1231</v>
      </c>
      <c r="D206" s="2" t="s">
        <v>1232</v>
      </c>
      <c r="E206" s="1" t="s">
        <v>42</v>
      </c>
      <c r="F206" s="2" t="s">
        <v>1233</v>
      </c>
      <c r="G206" s="2" t="s">
        <v>63</v>
      </c>
      <c r="H206" s="2" t="s">
        <v>80</v>
      </c>
      <c r="I206" s="1" t="s">
        <v>21</v>
      </c>
      <c r="J206" s="1" t="s">
        <v>22</v>
      </c>
      <c r="K206" s="1" t="s">
        <v>81</v>
      </c>
      <c r="L206" s="1" t="s">
        <v>46</v>
      </c>
      <c r="M206" s="2" t="s">
        <v>1234</v>
      </c>
    </row>
    <row r="207">
      <c r="A207" s="1" t="s">
        <v>1235</v>
      </c>
      <c r="B207" s="1" t="s">
        <v>1236</v>
      </c>
      <c r="C207" s="2" t="s">
        <v>434</v>
      </c>
      <c r="D207" s="2" t="s">
        <v>1237</v>
      </c>
      <c r="E207" s="1" t="s">
        <v>42</v>
      </c>
      <c r="F207" s="2" t="s">
        <v>1238</v>
      </c>
      <c r="G207" s="2" t="s">
        <v>32</v>
      </c>
      <c r="H207" s="2" t="s">
        <v>114</v>
      </c>
      <c r="I207" s="1" t="s">
        <v>65</v>
      </c>
      <c r="J207" s="1" t="s">
        <v>73</v>
      </c>
      <c r="K207" s="1" t="s">
        <v>121</v>
      </c>
      <c r="L207" s="1" t="s">
        <v>46</v>
      </c>
      <c r="M207" s="2" t="s">
        <v>1239</v>
      </c>
    </row>
    <row r="208">
      <c r="A208" s="1" t="s">
        <v>1240</v>
      </c>
      <c r="B208" s="1" t="s">
        <v>1241</v>
      </c>
      <c r="C208" s="2" t="s">
        <v>1242</v>
      </c>
      <c r="D208" s="2" t="s">
        <v>1243</v>
      </c>
      <c r="E208" s="1" t="s">
        <v>30</v>
      </c>
      <c r="F208" s="2" t="s">
        <v>1244</v>
      </c>
      <c r="G208" s="2" t="s">
        <v>32</v>
      </c>
      <c r="H208" s="2" t="s">
        <v>518</v>
      </c>
      <c r="I208" s="1" t="s">
        <v>55</v>
      </c>
      <c r="J208" s="1" t="s">
        <v>45</v>
      </c>
      <c r="K208" s="1" t="s">
        <v>121</v>
      </c>
      <c r="L208" s="1" t="s">
        <v>36</v>
      </c>
      <c r="M208" s="2" t="s">
        <v>1245</v>
      </c>
    </row>
    <row r="209">
      <c r="A209" s="1" t="s">
        <v>1246</v>
      </c>
      <c r="B209" s="1" t="s">
        <v>1247</v>
      </c>
      <c r="C209" s="2" t="s">
        <v>1248</v>
      </c>
      <c r="D209" s="2" t="s">
        <v>1249</v>
      </c>
      <c r="E209" s="1" t="s">
        <v>17</v>
      </c>
      <c r="F209" s="2" t="s">
        <v>1250</v>
      </c>
      <c r="G209" s="2" t="s">
        <v>63</v>
      </c>
      <c r="H209" s="2" t="s">
        <v>72</v>
      </c>
      <c r="I209" s="1" t="s">
        <v>65</v>
      </c>
      <c r="J209" s="1" t="s">
        <v>73</v>
      </c>
      <c r="K209" s="1" t="s">
        <v>23</v>
      </c>
      <c r="L209" s="1" t="s">
        <v>24</v>
      </c>
      <c r="M209" s="2" t="s">
        <v>1251</v>
      </c>
    </row>
    <row r="210">
      <c r="A210" s="1" t="s">
        <v>1252</v>
      </c>
      <c r="B210" s="1" t="s">
        <v>1253</v>
      </c>
      <c r="C210" s="2" t="s">
        <v>230</v>
      </c>
      <c r="D210" s="2" t="s">
        <v>1254</v>
      </c>
      <c r="E210" s="1" t="s">
        <v>42</v>
      </c>
      <c r="F210" s="2" t="s">
        <v>1255</v>
      </c>
      <c r="G210" s="2" t="s">
        <v>32</v>
      </c>
      <c r="H210" s="2" t="s">
        <v>64</v>
      </c>
      <c r="I210" s="1" t="s">
        <v>65</v>
      </c>
      <c r="J210" s="1" t="s">
        <v>73</v>
      </c>
      <c r="K210" s="1" t="s">
        <v>23</v>
      </c>
      <c r="L210" s="1" t="s">
        <v>24</v>
      </c>
      <c r="M210" s="2" t="s">
        <v>1256</v>
      </c>
    </row>
    <row r="211">
      <c r="A211" s="1" t="s">
        <v>1257</v>
      </c>
      <c r="B211" s="1" t="s">
        <v>1258</v>
      </c>
      <c r="C211" s="2" t="s">
        <v>1259</v>
      </c>
      <c r="D211" s="2" t="s">
        <v>1260</v>
      </c>
      <c r="E211" s="1" t="s">
        <v>52</v>
      </c>
      <c r="F211" s="2" t="s">
        <v>1261</v>
      </c>
      <c r="G211" s="2" t="s">
        <v>32</v>
      </c>
      <c r="H211" s="2" t="s">
        <v>345</v>
      </c>
      <c r="I211" s="1" t="s">
        <v>65</v>
      </c>
      <c r="J211" s="1" t="s">
        <v>45</v>
      </c>
      <c r="K211" s="1" t="s">
        <v>88</v>
      </c>
      <c r="L211" s="1" t="s">
        <v>24</v>
      </c>
      <c r="M211" s="2" t="s">
        <v>1262</v>
      </c>
    </row>
    <row r="212">
      <c r="A212" s="1" t="s">
        <v>1263</v>
      </c>
      <c r="B212" s="1" t="s">
        <v>1264</v>
      </c>
      <c r="C212" s="2" t="s">
        <v>680</v>
      </c>
      <c r="D212" s="2" t="s">
        <v>1265</v>
      </c>
      <c r="E212" s="1" t="s">
        <v>42</v>
      </c>
      <c r="F212" s="2" t="s">
        <v>466</v>
      </c>
      <c r="G212" s="2" t="s">
        <v>32</v>
      </c>
      <c r="H212" s="2" t="s">
        <v>194</v>
      </c>
      <c r="I212" s="1" t="s">
        <v>21</v>
      </c>
      <c r="J212" s="1" t="s">
        <v>73</v>
      </c>
      <c r="K212" s="1" t="s">
        <v>88</v>
      </c>
      <c r="L212" s="1" t="s">
        <v>36</v>
      </c>
      <c r="M212" s="2" t="s">
        <v>1266</v>
      </c>
    </row>
    <row r="213">
      <c r="A213" s="1" t="s">
        <v>1267</v>
      </c>
      <c r="B213" s="1" t="s">
        <v>1268</v>
      </c>
      <c r="C213" s="2" t="s">
        <v>305</v>
      </c>
      <c r="D213" s="2" t="s">
        <v>1269</v>
      </c>
      <c r="E213" s="1" t="s">
        <v>17</v>
      </c>
      <c r="F213" s="2" t="s">
        <v>1270</v>
      </c>
      <c r="G213" s="2" t="s">
        <v>19</v>
      </c>
      <c r="H213" s="2" t="s">
        <v>326</v>
      </c>
      <c r="I213" s="1" t="s">
        <v>34</v>
      </c>
      <c r="J213" s="1" t="s">
        <v>73</v>
      </c>
      <c r="K213" s="1" t="s">
        <v>88</v>
      </c>
      <c r="L213" s="1" t="s">
        <v>46</v>
      </c>
      <c r="M213" s="2" t="s">
        <v>1271</v>
      </c>
    </row>
    <row r="214">
      <c r="A214" s="1" t="s">
        <v>1272</v>
      </c>
      <c r="B214" s="1" t="s">
        <v>1273</v>
      </c>
      <c r="C214" s="2" t="s">
        <v>806</v>
      </c>
      <c r="D214" s="2" t="s">
        <v>1274</v>
      </c>
      <c r="E214" s="1" t="s">
        <v>17</v>
      </c>
      <c r="F214" s="2" t="s">
        <v>1275</v>
      </c>
      <c r="G214" s="2" t="s">
        <v>32</v>
      </c>
      <c r="H214" s="2" t="s">
        <v>483</v>
      </c>
      <c r="I214" s="1" t="s">
        <v>21</v>
      </c>
      <c r="J214" s="1" t="s">
        <v>73</v>
      </c>
      <c r="K214" s="1" t="s">
        <v>81</v>
      </c>
      <c r="L214" s="1" t="s">
        <v>24</v>
      </c>
      <c r="M214" s="2" t="s">
        <v>1276</v>
      </c>
    </row>
    <row r="215">
      <c r="A215" s="1" t="s">
        <v>1277</v>
      </c>
      <c r="B215" s="1" t="s">
        <v>1278</v>
      </c>
      <c r="C215" s="2" t="s">
        <v>1279</v>
      </c>
      <c r="D215" s="2" t="s">
        <v>1280</v>
      </c>
      <c r="E215" s="1" t="s">
        <v>17</v>
      </c>
      <c r="F215" s="2" t="s">
        <v>1281</v>
      </c>
      <c r="G215" s="2" t="s">
        <v>63</v>
      </c>
      <c r="H215" s="2" t="s">
        <v>483</v>
      </c>
      <c r="I215" s="1" t="s">
        <v>65</v>
      </c>
      <c r="J215" s="1" t="s">
        <v>22</v>
      </c>
      <c r="K215" s="1" t="s">
        <v>88</v>
      </c>
      <c r="L215" s="1" t="s">
        <v>46</v>
      </c>
      <c r="M215" s="2" t="s">
        <v>1282</v>
      </c>
    </row>
    <row r="216">
      <c r="A216" s="1" t="s">
        <v>1283</v>
      </c>
      <c r="B216" s="1" t="s">
        <v>1284</v>
      </c>
      <c r="C216" s="2" t="s">
        <v>1285</v>
      </c>
      <c r="D216" s="2" t="s">
        <v>1286</v>
      </c>
      <c r="E216" s="1" t="s">
        <v>200</v>
      </c>
      <c r="F216" s="2" t="s">
        <v>1287</v>
      </c>
      <c r="G216" s="2" t="s">
        <v>32</v>
      </c>
      <c r="H216" s="2" t="s">
        <v>214</v>
      </c>
      <c r="I216" s="1" t="s">
        <v>65</v>
      </c>
      <c r="J216" s="1" t="s">
        <v>22</v>
      </c>
      <c r="K216" s="1" t="s">
        <v>81</v>
      </c>
      <c r="L216" s="1" t="s">
        <v>36</v>
      </c>
      <c r="M216" s="2" t="s">
        <v>1288</v>
      </c>
    </row>
    <row r="217">
      <c r="A217" s="1" t="s">
        <v>1289</v>
      </c>
      <c r="B217" s="1" t="s">
        <v>1290</v>
      </c>
      <c r="C217" s="2" t="s">
        <v>1291</v>
      </c>
      <c r="D217" s="2" t="s">
        <v>1292</v>
      </c>
      <c r="E217" s="1" t="s">
        <v>17</v>
      </c>
      <c r="F217" s="2" t="s">
        <v>1293</v>
      </c>
      <c r="G217" s="2" t="s">
        <v>32</v>
      </c>
      <c r="H217" s="2" t="s">
        <v>72</v>
      </c>
      <c r="I217" s="1" t="s">
        <v>21</v>
      </c>
      <c r="J217" s="1" t="s">
        <v>45</v>
      </c>
      <c r="K217" s="1" t="s">
        <v>121</v>
      </c>
      <c r="L217" s="1" t="s">
        <v>46</v>
      </c>
      <c r="M217" s="2" t="s">
        <v>1294</v>
      </c>
    </row>
    <row r="218">
      <c r="A218" s="1" t="s">
        <v>1295</v>
      </c>
      <c r="B218" s="1" t="s">
        <v>1296</v>
      </c>
      <c r="C218" s="2" t="s">
        <v>835</v>
      </c>
      <c r="D218" s="2" t="s">
        <v>1297</v>
      </c>
      <c r="E218" s="1" t="s">
        <v>30</v>
      </c>
      <c r="F218" s="2" t="s">
        <v>1298</v>
      </c>
      <c r="G218" s="2" t="s">
        <v>32</v>
      </c>
      <c r="H218" s="2" t="s">
        <v>114</v>
      </c>
      <c r="I218" s="1" t="s">
        <v>65</v>
      </c>
      <c r="J218" s="1" t="s">
        <v>22</v>
      </c>
      <c r="K218" s="1" t="s">
        <v>88</v>
      </c>
      <c r="L218" s="1" t="s">
        <v>46</v>
      </c>
      <c r="M218" s="2" t="s">
        <v>1299</v>
      </c>
    </row>
    <row r="219">
      <c r="A219" s="1" t="s">
        <v>1300</v>
      </c>
      <c r="B219" s="1" t="s">
        <v>1301</v>
      </c>
      <c r="C219" s="2" t="s">
        <v>892</v>
      </c>
      <c r="D219" s="2" t="s">
        <v>1302</v>
      </c>
      <c r="E219" s="1" t="s">
        <v>200</v>
      </c>
      <c r="F219" s="2" t="s">
        <v>1303</v>
      </c>
      <c r="G219" s="2" t="s">
        <v>19</v>
      </c>
      <c r="H219" s="2" t="s">
        <v>72</v>
      </c>
      <c r="I219" s="1" t="s">
        <v>55</v>
      </c>
      <c r="J219" s="1" t="s">
        <v>56</v>
      </c>
      <c r="K219" s="1" t="s">
        <v>23</v>
      </c>
      <c r="L219" s="1" t="s">
        <v>36</v>
      </c>
      <c r="M219" s="2" t="s">
        <v>1304</v>
      </c>
    </row>
    <row r="220">
      <c r="A220" s="1" t="s">
        <v>1305</v>
      </c>
      <c r="B220" s="1" t="s">
        <v>1306</v>
      </c>
      <c r="C220" s="2" t="s">
        <v>1307</v>
      </c>
      <c r="D220" s="2" t="s">
        <v>1308</v>
      </c>
      <c r="E220" s="1" t="s">
        <v>30</v>
      </c>
      <c r="F220" s="2" t="s">
        <v>1309</v>
      </c>
      <c r="G220" s="2" t="s">
        <v>32</v>
      </c>
      <c r="H220" s="2" t="s">
        <v>33</v>
      </c>
      <c r="I220" s="1" t="s">
        <v>21</v>
      </c>
      <c r="J220" s="1" t="s">
        <v>45</v>
      </c>
      <c r="K220" s="1" t="s">
        <v>23</v>
      </c>
      <c r="L220" s="1" t="s">
        <v>46</v>
      </c>
      <c r="M220" s="2" t="s">
        <v>1310</v>
      </c>
    </row>
    <row r="221">
      <c r="A221" s="1" t="s">
        <v>1311</v>
      </c>
      <c r="B221" s="1" t="s">
        <v>1312</v>
      </c>
      <c r="C221" s="2" t="s">
        <v>1172</v>
      </c>
      <c r="D221" s="2" t="s">
        <v>1313</v>
      </c>
      <c r="E221" s="1" t="s">
        <v>17</v>
      </c>
      <c r="F221" s="2" t="s">
        <v>1314</v>
      </c>
      <c r="G221" s="2" t="s">
        <v>44</v>
      </c>
      <c r="H221" s="2" t="s">
        <v>194</v>
      </c>
      <c r="I221" s="1" t="s">
        <v>34</v>
      </c>
      <c r="J221" s="1" t="s">
        <v>45</v>
      </c>
      <c r="K221" s="1" t="s">
        <v>35</v>
      </c>
      <c r="L221" s="1" t="s">
        <v>24</v>
      </c>
      <c r="M221" s="2" t="s">
        <v>1315</v>
      </c>
    </row>
    <row r="222">
      <c r="A222" s="1" t="s">
        <v>1316</v>
      </c>
      <c r="B222" s="1" t="s">
        <v>1317</v>
      </c>
      <c r="C222" s="2" t="s">
        <v>812</v>
      </c>
      <c r="D222" s="2" t="s">
        <v>1318</v>
      </c>
      <c r="E222" s="1" t="s">
        <v>42</v>
      </c>
      <c r="F222" s="2" t="s">
        <v>1319</v>
      </c>
      <c r="G222" s="2" t="s">
        <v>63</v>
      </c>
      <c r="H222" s="2" t="s">
        <v>114</v>
      </c>
      <c r="I222" s="1" t="s">
        <v>65</v>
      </c>
      <c r="J222" s="1" t="s">
        <v>56</v>
      </c>
      <c r="K222" s="1" t="s">
        <v>88</v>
      </c>
      <c r="L222" s="1" t="s">
        <v>24</v>
      </c>
      <c r="M222" s="2" t="s">
        <v>1320</v>
      </c>
    </row>
    <row r="223">
      <c r="A223" s="1" t="s">
        <v>1321</v>
      </c>
      <c r="B223" s="1" t="s">
        <v>1322</v>
      </c>
      <c r="C223" s="2" t="s">
        <v>1323</v>
      </c>
      <c r="D223" s="2" t="s">
        <v>1324</v>
      </c>
      <c r="E223" s="1" t="s">
        <v>30</v>
      </c>
      <c r="F223" s="2" t="s">
        <v>1325</v>
      </c>
      <c r="G223" s="2" t="s">
        <v>63</v>
      </c>
      <c r="H223" s="2" t="s">
        <v>72</v>
      </c>
      <c r="I223" s="1" t="s">
        <v>55</v>
      </c>
      <c r="J223" s="1" t="s">
        <v>73</v>
      </c>
      <c r="K223" s="1" t="s">
        <v>88</v>
      </c>
      <c r="L223" s="1" t="s">
        <v>36</v>
      </c>
      <c r="M223" s="2" t="s">
        <v>1326</v>
      </c>
    </row>
    <row r="224">
      <c r="A224" s="1" t="s">
        <v>1327</v>
      </c>
      <c r="B224" s="1" t="s">
        <v>1328</v>
      </c>
      <c r="C224" s="2" t="s">
        <v>1329</v>
      </c>
      <c r="D224" s="2" t="s">
        <v>1330</v>
      </c>
      <c r="E224" s="1" t="s">
        <v>52</v>
      </c>
      <c r="F224" s="2" t="s">
        <v>1331</v>
      </c>
      <c r="G224" s="2" t="s">
        <v>19</v>
      </c>
      <c r="H224" s="2" t="s">
        <v>33</v>
      </c>
      <c r="I224" s="1" t="s">
        <v>65</v>
      </c>
      <c r="J224" s="1" t="s">
        <v>22</v>
      </c>
      <c r="K224" s="1" t="s">
        <v>121</v>
      </c>
      <c r="L224" s="1" t="s">
        <v>24</v>
      </c>
      <c r="M224" s="2" t="s">
        <v>1332</v>
      </c>
    </row>
    <row r="225">
      <c r="A225" s="1" t="s">
        <v>1333</v>
      </c>
      <c r="B225" s="1" t="s">
        <v>1334</v>
      </c>
      <c r="C225" s="2" t="s">
        <v>330</v>
      </c>
      <c r="D225" s="2" t="s">
        <v>1335</v>
      </c>
      <c r="E225" s="1" t="s">
        <v>52</v>
      </c>
      <c r="F225" s="2" t="s">
        <v>1336</v>
      </c>
      <c r="G225" s="2" t="s">
        <v>44</v>
      </c>
      <c r="H225" s="2" t="s">
        <v>326</v>
      </c>
      <c r="I225" s="1" t="s">
        <v>21</v>
      </c>
      <c r="J225" s="1" t="s">
        <v>73</v>
      </c>
      <c r="K225" s="1" t="s">
        <v>121</v>
      </c>
      <c r="L225" s="1" t="s">
        <v>24</v>
      </c>
      <c r="M225" s="2" t="s">
        <v>1337</v>
      </c>
    </row>
    <row r="226">
      <c r="A226" s="1" t="s">
        <v>1338</v>
      </c>
      <c r="B226" s="1" t="s">
        <v>1339</v>
      </c>
      <c r="C226" s="2" t="s">
        <v>1340</v>
      </c>
      <c r="D226" s="2" t="s">
        <v>1341</v>
      </c>
      <c r="E226" s="1" t="s">
        <v>30</v>
      </c>
      <c r="F226" s="2" t="s">
        <v>1342</v>
      </c>
      <c r="G226" s="2" t="s">
        <v>63</v>
      </c>
      <c r="H226" s="2" t="s">
        <v>54</v>
      </c>
      <c r="I226" s="1" t="s">
        <v>21</v>
      </c>
      <c r="J226" s="1" t="s">
        <v>73</v>
      </c>
      <c r="K226" s="1" t="s">
        <v>35</v>
      </c>
      <c r="L226" s="1" t="s">
        <v>36</v>
      </c>
      <c r="M226" s="2" t="s">
        <v>1343</v>
      </c>
    </row>
    <row r="227">
      <c r="A227" s="1" t="s">
        <v>1344</v>
      </c>
      <c r="B227" s="1" t="s">
        <v>1345</v>
      </c>
      <c r="C227" s="2" t="s">
        <v>818</v>
      </c>
      <c r="D227" s="2" t="s">
        <v>1346</v>
      </c>
      <c r="E227" s="1" t="s">
        <v>200</v>
      </c>
      <c r="F227" s="2" t="s">
        <v>1347</v>
      </c>
      <c r="G227" s="2" t="s">
        <v>44</v>
      </c>
      <c r="H227" s="2" t="s">
        <v>483</v>
      </c>
      <c r="I227" s="1" t="s">
        <v>55</v>
      </c>
      <c r="J227" s="1" t="s">
        <v>45</v>
      </c>
      <c r="K227" s="1" t="s">
        <v>81</v>
      </c>
      <c r="L227" s="1" t="s">
        <v>36</v>
      </c>
      <c r="M227" s="2" t="s">
        <v>1348</v>
      </c>
    </row>
    <row r="228">
      <c r="A228" s="1" t="s">
        <v>1349</v>
      </c>
      <c r="B228" s="1" t="s">
        <v>1350</v>
      </c>
      <c r="C228" s="2" t="s">
        <v>168</v>
      </c>
      <c r="D228" s="2" t="s">
        <v>1351</v>
      </c>
      <c r="E228" s="1" t="s">
        <v>17</v>
      </c>
      <c r="F228" s="2" t="s">
        <v>1352</v>
      </c>
      <c r="G228" s="2" t="s">
        <v>63</v>
      </c>
      <c r="H228" s="2" t="s">
        <v>326</v>
      </c>
      <c r="I228" s="1" t="s">
        <v>34</v>
      </c>
      <c r="J228" s="1" t="s">
        <v>22</v>
      </c>
      <c r="K228" s="1" t="s">
        <v>88</v>
      </c>
      <c r="L228" s="1" t="s">
        <v>24</v>
      </c>
      <c r="M228" s="2" t="s">
        <v>1353</v>
      </c>
    </row>
    <row r="229">
      <c r="A229" s="1" t="s">
        <v>1354</v>
      </c>
      <c r="B229" s="1" t="s">
        <v>1355</v>
      </c>
      <c r="C229" s="2" t="s">
        <v>552</v>
      </c>
      <c r="D229" s="2" t="s">
        <v>1356</v>
      </c>
      <c r="E229" s="1" t="s">
        <v>42</v>
      </c>
      <c r="F229" s="2" t="s">
        <v>1357</v>
      </c>
      <c r="G229" s="2" t="s">
        <v>19</v>
      </c>
      <c r="H229" s="2" t="s">
        <v>518</v>
      </c>
      <c r="I229" s="1" t="s">
        <v>65</v>
      </c>
      <c r="J229" s="1" t="s">
        <v>56</v>
      </c>
      <c r="K229" s="1" t="s">
        <v>121</v>
      </c>
      <c r="L229" s="1" t="s">
        <v>46</v>
      </c>
      <c r="M229" s="2" t="s">
        <v>1358</v>
      </c>
    </row>
    <row r="230">
      <c r="A230" s="1" t="s">
        <v>1359</v>
      </c>
      <c r="B230" s="1" t="s">
        <v>1360</v>
      </c>
      <c r="C230" s="2" t="s">
        <v>1361</v>
      </c>
      <c r="D230" s="2" t="s">
        <v>1362</v>
      </c>
      <c r="E230" s="1" t="s">
        <v>200</v>
      </c>
      <c r="F230" s="2" t="s">
        <v>1363</v>
      </c>
      <c r="G230" s="2" t="s">
        <v>63</v>
      </c>
      <c r="H230" s="2" t="s">
        <v>114</v>
      </c>
      <c r="I230" s="1" t="s">
        <v>21</v>
      </c>
      <c r="J230" s="1" t="s">
        <v>22</v>
      </c>
      <c r="K230" s="1" t="s">
        <v>35</v>
      </c>
      <c r="L230" s="1" t="s">
        <v>36</v>
      </c>
      <c r="M230" s="2" t="s">
        <v>1364</v>
      </c>
    </row>
    <row r="231">
      <c r="A231" s="1" t="s">
        <v>1365</v>
      </c>
      <c r="B231" s="1" t="s">
        <v>1366</v>
      </c>
      <c r="C231" s="2" t="s">
        <v>1213</v>
      </c>
      <c r="D231" s="2" t="s">
        <v>1367</v>
      </c>
      <c r="E231" s="1" t="s">
        <v>200</v>
      </c>
      <c r="F231" s="2" t="s">
        <v>1368</v>
      </c>
      <c r="G231" s="2" t="s">
        <v>19</v>
      </c>
      <c r="H231" s="2" t="s">
        <v>80</v>
      </c>
      <c r="I231" s="1" t="s">
        <v>34</v>
      </c>
      <c r="J231" s="1" t="s">
        <v>56</v>
      </c>
      <c r="K231" s="1" t="s">
        <v>88</v>
      </c>
      <c r="L231" s="1" t="s">
        <v>24</v>
      </c>
      <c r="M231" s="2" t="s">
        <v>1369</v>
      </c>
    </row>
    <row r="232">
      <c r="A232" s="1" t="s">
        <v>1370</v>
      </c>
      <c r="B232" s="1" t="s">
        <v>1371</v>
      </c>
      <c r="C232" s="2" t="s">
        <v>1372</v>
      </c>
      <c r="D232" s="2" t="s">
        <v>1373</v>
      </c>
      <c r="E232" s="1" t="s">
        <v>30</v>
      </c>
      <c r="F232" s="2" t="s">
        <v>1374</v>
      </c>
      <c r="G232" s="2" t="s">
        <v>19</v>
      </c>
      <c r="H232" s="2" t="s">
        <v>33</v>
      </c>
      <c r="I232" s="1" t="s">
        <v>34</v>
      </c>
      <c r="J232" s="1" t="s">
        <v>56</v>
      </c>
      <c r="K232" s="1" t="s">
        <v>121</v>
      </c>
      <c r="L232" s="1" t="s">
        <v>36</v>
      </c>
      <c r="M232" s="2" t="s">
        <v>1375</v>
      </c>
    </row>
    <row r="233">
      <c r="A233" s="1" t="s">
        <v>1376</v>
      </c>
      <c r="B233" s="1" t="s">
        <v>1377</v>
      </c>
      <c r="C233" s="2" t="s">
        <v>1378</v>
      </c>
      <c r="D233" s="2" t="s">
        <v>1379</v>
      </c>
      <c r="E233" s="1" t="s">
        <v>17</v>
      </c>
      <c r="F233" s="2" t="s">
        <v>1380</v>
      </c>
      <c r="G233" s="2" t="s">
        <v>32</v>
      </c>
      <c r="H233" s="2" t="s">
        <v>64</v>
      </c>
      <c r="I233" s="1" t="s">
        <v>34</v>
      </c>
      <c r="J233" s="1" t="s">
        <v>45</v>
      </c>
      <c r="K233" s="1" t="s">
        <v>35</v>
      </c>
      <c r="L233" s="1" t="s">
        <v>36</v>
      </c>
      <c r="M233" s="2" t="s">
        <v>1381</v>
      </c>
    </row>
    <row r="234">
      <c r="A234" s="1" t="s">
        <v>1382</v>
      </c>
      <c r="B234" s="1" t="s">
        <v>1383</v>
      </c>
      <c r="C234" s="2" t="s">
        <v>1384</v>
      </c>
      <c r="D234" s="2" t="s">
        <v>1385</v>
      </c>
      <c r="E234" s="1" t="s">
        <v>52</v>
      </c>
      <c r="F234" s="2" t="s">
        <v>1386</v>
      </c>
      <c r="G234" s="2" t="s">
        <v>44</v>
      </c>
      <c r="H234" s="2" t="s">
        <v>345</v>
      </c>
      <c r="I234" s="1" t="s">
        <v>65</v>
      </c>
      <c r="J234" s="1" t="s">
        <v>73</v>
      </c>
      <c r="K234" s="1" t="s">
        <v>88</v>
      </c>
      <c r="L234" s="1" t="s">
        <v>46</v>
      </c>
      <c r="M234" s="2" t="s">
        <v>1387</v>
      </c>
    </row>
    <row r="235">
      <c r="A235" s="1" t="s">
        <v>1388</v>
      </c>
      <c r="B235" s="1" t="s">
        <v>1389</v>
      </c>
      <c r="C235" s="2" t="s">
        <v>1390</v>
      </c>
      <c r="D235" s="2" t="s">
        <v>1391</v>
      </c>
      <c r="E235" s="1" t="s">
        <v>17</v>
      </c>
      <c r="F235" s="2" t="s">
        <v>1392</v>
      </c>
      <c r="G235" s="2" t="s">
        <v>19</v>
      </c>
      <c r="H235" s="2" t="s">
        <v>326</v>
      </c>
      <c r="I235" s="1" t="s">
        <v>65</v>
      </c>
      <c r="J235" s="1" t="s">
        <v>56</v>
      </c>
      <c r="K235" s="1" t="s">
        <v>81</v>
      </c>
      <c r="L235" s="1" t="s">
        <v>24</v>
      </c>
      <c r="M235" s="2" t="s">
        <v>1393</v>
      </c>
    </row>
    <row r="236">
      <c r="A236" s="1" t="s">
        <v>1394</v>
      </c>
      <c r="B236" s="1" t="s">
        <v>1395</v>
      </c>
      <c r="C236" s="2" t="s">
        <v>1396</v>
      </c>
      <c r="D236" s="2" t="s">
        <v>1397</v>
      </c>
      <c r="E236" s="1" t="s">
        <v>200</v>
      </c>
      <c r="F236" s="2" t="s">
        <v>1398</v>
      </c>
      <c r="G236" s="2" t="s">
        <v>44</v>
      </c>
      <c r="H236" s="2" t="s">
        <v>326</v>
      </c>
      <c r="I236" s="1" t="s">
        <v>21</v>
      </c>
      <c r="J236" s="1" t="s">
        <v>22</v>
      </c>
      <c r="K236" s="1" t="s">
        <v>88</v>
      </c>
      <c r="L236" s="1" t="s">
        <v>24</v>
      </c>
      <c r="M236" s="2" t="s">
        <v>1399</v>
      </c>
    </row>
    <row r="237">
      <c r="A237" s="1" t="s">
        <v>1400</v>
      </c>
      <c r="B237" s="1" t="s">
        <v>1401</v>
      </c>
      <c r="C237" s="2" t="s">
        <v>1402</v>
      </c>
      <c r="D237" s="2" t="s">
        <v>1403</v>
      </c>
      <c r="E237" s="1" t="s">
        <v>17</v>
      </c>
      <c r="F237" s="2" t="s">
        <v>1404</v>
      </c>
      <c r="G237" s="2" t="s">
        <v>63</v>
      </c>
      <c r="H237" s="2" t="s">
        <v>483</v>
      </c>
      <c r="I237" s="1" t="s">
        <v>65</v>
      </c>
      <c r="J237" s="1" t="s">
        <v>56</v>
      </c>
      <c r="K237" s="1" t="s">
        <v>81</v>
      </c>
      <c r="L237" s="1" t="s">
        <v>36</v>
      </c>
      <c r="M237" s="2" t="s">
        <v>1405</v>
      </c>
    </row>
    <row r="238">
      <c r="A238" s="1" t="s">
        <v>1406</v>
      </c>
      <c r="B238" s="1" t="s">
        <v>1407</v>
      </c>
      <c r="C238" s="2" t="s">
        <v>1408</v>
      </c>
      <c r="D238" s="2" t="s">
        <v>1409</v>
      </c>
      <c r="E238" s="1" t="s">
        <v>52</v>
      </c>
      <c r="F238" s="2" t="s">
        <v>1410</v>
      </c>
      <c r="G238" s="2" t="s">
        <v>44</v>
      </c>
      <c r="H238" s="2" t="s">
        <v>64</v>
      </c>
      <c r="I238" s="1" t="s">
        <v>34</v>
      </c>
      <c r="J238" s="1" t="s">
        <v>45</v>
      </c>
      <c r="K238" s="1" t="s">
        <v>81</v>
      </c>
      <c r="L238" s="1" t="s">
        <v>24</v>
      </c>
      <c r="M238" s="2" t="s">
        <v>1411</v>
      </c>
    </row>
    <row r="239">
      <c r="A239" s="1" t="s">
        <v>1412</v>
      </c>
      <c r="B239" s="1" t="s">
        <v>1413</v>
      </c>
      <c r="C239" s="2" t="s">
        <v>1219</v>
      </c>
      <c r="D239" s="2" t="s">
        <v>1414</v>
      </c>
      <c r="E239" s="1" t="s">
        <v>200</v>
      </c>
      <c r="F239" s="2" t="s">
        <v>1415</v>
      </c>
      <c r="G239" s="2" t="s">
        <v>32</v>
      </c>
      <c r="H239" s="2" t="s">
        <v>326</v>
      </c>
      <c r="I239" s="1" t="s">
        <v>34</v>
      </c>
      <c r="J239" s="1" t="s">
        <v>22</v>
      </c>
      <c r="K239" s="1" t="s">
        <v>35</v>
      </c>
      <c r="L239" s="1" t="s">
        <v>36</v>
      </c>
      <c r="M239" s="2" t="s">
        <v>1416</v>
      </c>
    </row>
    <row r="240">
      <c r="A240" s="1" t="s">
        <v>1417</v>
      </c>
      <c r="B240" s="1" t="s">
        <v>1418</v>
      </c>
      <c r="C240" s="2" t="s">
        <v>1106</v>
      </c>
      <c r="D240" s="2" t="s">
        <v>1419</v>
      </c>
      <c r="E240" s="1" t="s">
        <v>52</v>
      </c>
      <c r="F240" s="2" t="s">
        <v>1420</v>
      </c>
      <c r="G240" s="2" t="s">
        <v>63</v>
      </c>
      <c r="H240" s="2" t="s">
        <v>64</v>
      </c>
      <c r="I240" s="1" t="s">
        <v>55</v>
      </c>
      <c r="J240" s="1" t="s">
        <v>45</v>
      </c>
      <c r="K240" s="1" t="s">
        <v>121</v>
      </c>
      <c r="L240" s="1" t="s">
        <v>46</v>
      </c>
      <c r="M240" s="2" t="s">
        <v>1421</v>
      </c>
    </row>
    <row r="241">
      <c r="A241" s="1" t="s">
        <v>1422</v>
      </c>
      <c r="B241" s="1" t="s">
        <v>1423</v>
      </c>
      <c r="C241" s="2" t="s">
        <v>211</v>
      </c>
      <c r="D241" s="2" t="s">
        <v>1424</v>
      </c>
      <c r="E241" s="1" t="s">
        <v>42</v>
      </c>
      <c r="F241" s="2" t="s">
        <v>1425</v>
      </c>
      <c r="G241" s="2" t="s">
        <v>63</v>
      </c>
      <c r="H241" s="2" t="s">
        <v>114</v>
      </c>
      <c r="I241" s="1" t="s">
        <v>65</v>
      </c>
      <c r="J241" s="1" t="s">
        <v>73</v>
      </c>
      <c r="K241" s="1" t="s">
        <v>121</v>
      </c>
      <c r="L241" s="1" t="s">
        <v>46</v>
      </c>
      <c r="M241" s="2" t="s">
        <v>1426</v>
      </c>
    </row>
    <row r="242">
      <c r="A242" s="1" t="s">
        <v>1427</v>
      </c>
      <c r="B242" s="1" t="s">
        <v>1428</v>
      </c>
      <c r="C242" s="2" t="s">
        <v>1323</v>
      </c>
      <c r="D242" s="2" t="s">
        <v>1429</v>
      </c>
      <c r="E242" s="1" t="s">
        <v>30</v>
      </c>
      <c r="F242" s="2" t="s">
        <v>1430</v>
      </c>
      <c r="G242" s="2" t="s">
        <v>32</v>
      </c>
      <c r="H242" s="2" t="s">
        <v>114</v>
      </c>
      <c r="I242" s="1" t="s">
        <v>65</v>
      </c>
      <c r="J242" s="1" t="s">
        <v>73</v>
      </c>
      <c r="K242" s="1" t="s">
        <v>23</v>
      </c>
      <c r="L242" s="1" t="s">
        <v>24</v>
      </c>
      <c r="M242" s="2" t="s">
        <v>1431</v>
      </c>
    </row>
    <row r="243">
      <c r="A243" s="1" t="s">
        <v>1432</v>
      </c>
      <c r="B243" s="1" t="s">
        <v>1433</v>
      </c>
      <c r="C243" s="2" t="s">
        <v>1434</v>
      </c>
      <c r="D243" s="2" t="s">
        <v>1435</v>
      </c>
      <c r="E243" s="1" t="s">
        <v>17</v>
      </c>
      <c r="F243" s="2" t="s">
        <v>1436</v>
      </c>
      <c r="G243" s="2" t="s">
        <v>44</v>
      </c>
      <c r="H243" s="2" t="s">
        <v>194</v>
      </c>
      <c r="I243" s="1" t="s">
        <v>34</v>
      </c>
      <c r="J243" s="1" t="s">
        <v>45</v>
      </c>
      <c r="K243" s="1" t="s">
        <v>81</v>
      </c>
      <c r="L243" s="1" t="s">
        <v>24</v>
      </c>
      <c r="M243" s="2" t="s">
        <v>1437</v>
      </c>
    </row>
    <row r="244">
      <c r="A244" s="1" t="s">
        <v>1438</v>
      </c>
      <c r="B244" s="1" t="s">
        <v>1439</v>
      </c>
      <c r="C244" s="2" t="s">
        <v>1440</v>
      </c>
      <c r="D244" s="2" t="s">
        <v>1441</v>
      </c>
      <c r="E244" s="1" t="s">
        <v>200</v>
      </c>
      <c r="F244" s="2" t="s">
        <v>1442</v>
      </c>
      <c r="G244" s="2" t="s">
        <v>44</v>
      </c>
      <c r="H244" s="2" t="s">
        <v>128</v>
      </c>
      <c r="I244" s="1" t="s">
        <v>21</v>
      </c>
      <c r="J244" s="1" t="s">
        <v>45</v>
      </c>
      <c r="K244" s="1" t="s">
        <v>88</v>
      </c>
      <c r="L244" s="1" t="s">
        <v>24</v>
      </c>
      <c r="M244" s="2" t="s">
        <v>1443</v>
      </c>
    </row>
    <row r="245">
      <c r="A245" s="1" t="s">
        <v>1444</v>
      </c>
      <c r="B245" s="1" t="s">
        <v>1445</v>
      </c>
      <c r="C245" s="2" t="s">
        <v>576</v>
      </c>
      <c r="D245" s="2" t="s">
        <v>1446</v>
      </c>
      <c r="E245" s="1" t="s">
        <v>42</v>
      </c>
      <c r="F245" s="2" t="s">
        <v>1447</v>
      </c>
      <c r="G245" s="2" t="s">
        <v>63</v>
      </c>
      <c r="H245" s="2" t="s">
        <v>54</v>
      </c>
      <c r="I245" s="1" t="s">
        <v>34</v>
      </c>
      <c r="J245" s="1" t="s">
        <v>45</v>
      </c>
      <c r="K245" s="1" t="s">
        <v>121</v>
      </c>
      <c r="L245" s="1" t="s">
        <v>46</v>
      </c>
      <c r="M245" s="2" t="s">
        <v>1448</v>
      </c>
    </row>
    <row r="246">
      <c r="A246" s="1" t="s">
        <v>1449</v>
      </c>
      <c r="B246" s="1" t="s">
        <v>1450</v>
      </c>
      <c r="C246" s="2" t="s">
        <v>1451</v>
      </c>
      <c r="D246" s="2" t="s">
        <v>1452</v>
      </c>
      <c r="E246" s="1" t="s">
        <v>30</v>
      </c>
      <c r="F246" s="2" t="s">
        <v>1453</v>
      </c>
      <c r="G246" s="2" t="s">
        <v>63</v>
      </c>
      <c r="H246" s="2" t="s">
        <v>483</v>
      </c>
      <c r="I246" s="1" t="s">
        <v>65</v>
      </c>
      <c r="J246" s="1" t="s">
        <v>56</v>
      </c>
      <c r="K246" s="1" t="s">
        <v>121</v>
      </c>
      <c r="L246" s="1" t="s">
        <v>46</v>
      </c>
      <c r="M246" s="2" t="s">
        <v>1454</v>
      </c>
    </row>
    <row r="247">
      <c r="A247" s="1" t="s">
        <v>1455</v>
      </c>
      <c r="B247" s="1" t="s">
        <v>1456</v>
      </c>
      <c r="C247" s="2" t="s">
        <v>1457</v>
      </c>
      <c r="D247" s="2" t="s">
        <v>1458</v>
      </c>
      <c r="E247" s="1" t="s">
        <v>52</v>
      </c>
      <c r="F247" s="2" t="s">
        <v>1459</v>
      </c>
      <c r="G247" s="2" t="s">
        <v>32</v>
      </c>
      <c r="H247" s="2" t="s">
        <v>128</v>
      </c>
      <c r="I247" s="1" t="s">
        <v>55</v>
      </c>
      <c r="J247" s="1" t="s">
        <v>73</v>
      </c>
      <c r="K247" s="1" t="s">
        <v>88</v>
      </c>
      <c r="L247" s="1" t="s">
        <v>24</v>
      </c>
      <c r="M247" s="2" t="s">
        <v>1460</v>
      </c>
    </row>
    <row r="248">
      <c r="A248" s="1" t="s">
        <v>1461</v>
      </c>
      <c r="B248" s="1" t="s">
        <v>1462</v>
      </c>
      <c r="C248" s="2" t="s">
        <v>355</v>
      </c>
      <c r="D248" s="2" t="s">
        <v>1463</v>
      </c>
      <c r="E248" s="1" t="s">
        <v>17</v>
      </c>
      <c r="F248" s="2" t="s">
        <v>1464</v>
      </c>
      <c r="G248" s="2" t="s">
        <v>44</v>
      </c>
      <c r="H248" s="2" t="s">
        <v>33</v>
      </c>
      <c r="I248" s="1" t="s">
        <v>55</v>
      </c>
      <c r="J248" s="1" t="s">
        <v>22</v>
      </c>
      <c r="K248" s="1" t="s">
        <v>121</v>
      </c>
      <c r="L248" s="1" t="s">
        <v>46</v>
      </c>
      <c r="M248" s="2" t="s">
        <v>1465</v>
      </c>
    </row>
    <row r="249">
      <c r="A249" s="1" t="s">
        <v>1466</v>
      </c>
      <c r="B249" s="1" t="s">
        <v>1467</v>
      </c>
      <c r="C249" s="2" t="s">
        <v>138</v>
      </c>
      <c r="D249" s="2" t="s">
        <v>1468</v>
      </c>
      <c r="E249" s="1" t="s">
        <v>52</v>
      </c>
      <c r="F249" s="2" t="s">
        <v>1469</v>
      </c>
      <c r="G249" s="2" t="s">
        <v>44</v>
      </c>
      <c r="H249" s="2" t="s">
        <v>326</v>
      </c>
      <c r="I249" s="1" t="s">
        <v>21</v>
      </c>
      <c r="J249" s="1" t="s">
        <v>56</v>
      </c>
      <c r="K249" s="1" t="s">
        <v>81</v>
      </c>
      <c r="L249" s="1" t="s">
        <v>46</v>
      </c>
      <c r="M249" s="2" t="s">
        <v>1470</v>
      </c>
    </row>
    <row r="250">
      <c r="A250" s="1" t="s">
        <v>1471</v>
      </c>
      <c r="B250" s="1" t="s">
        <v>1472</v>
      </c>
      <c r="C250" s="2" t="s">
        <v>1473</v>
      </c>
      <c r="D250" s="2" t="s">
        <v>1474</v>
      </c>
      <c r="E250" s="1" t="s">
        <v>200</v>
      </c>
      <c r="F250" s="2" t="s">
        <v>1475</v>
      </c>
      <c r="G250" s="2" t="s">
        <v>44</v>
      </c>
      <c r="H250" s="2" t="s">
        <v>128</v>
      </c>
      <c r="I250" s="1" t="s">
        <v>21</v>
      </c>
      <c r="J250" s="1" t="s">
        <v>45</v>
      </c>
      <c r="K250" s="1" t="s">
        <v>121</v>
      </c>
      <c r="L250" s="1" t="s">
        <v>46</v>
      </c>
      <c r="M250" s="2" t="s">
        <v>1476</v>
      </c>
    </row>
    <row r="251">
      <c r="A251" s="1" t="s">
        <v>1477</v>
      </c>
      <c r="B251" s="1" t="s">
        <v>1478</v>
      </c>
      <c r="C251" s="2" t="s">
        <v>1479</v>
      </c>
      <c r="D251" s="2" t="s">
        <v>1480</v>
      </c>
      <c r="E251" s="1" t="s">
        <v>200</v>
      </c>
      <c r="F251" s="2" t="s">
        <v>1481</v>
      </c>
      <c r="G251" s="2" t="s">
        <v>32</v>
      </c>
      <c r="H251" s="2" t="s">
        <v>114</v>
      </c>
      <c r="I251" s="1" t="s">
        <v>65</v>
      </c>
      <c r="J251" s="1" t="s">
        <v>45</v>
      </c>
      <c r="K251" s="1" t="s">
        <v>88</v>
      </c>
      <c r="L251" s="1" t="s">
        <v>46</v>
      </c>
      <c r="M251" s="2" t="s">
        <v>1482</v>
      </c>
    </row>
    <row r="252">
      <c r="A252" s="1" t="s">
        <v>1483</v>
      </c>
      <c r="B252" s="1" t="s">
        <v>1484</v>
      </c>
      <c r="C252" s="2" t="s">
        <v>1485</v>
      </c>
      <c r="D252" s="2" t="s">
        <v>1486</v>
      </c>
      <c r="E252" s="1" t="s">
        <v>30</v>
      </c>
      <c r="F252" s="2" t="s">
        <v>1487</v>
      </c>
      <c r="G252" s="2" t="s">
        <v>32</v>
      </c>
      <c r="H252" s="2" t="s">
        <v>141</v>
      </c>
      <c r="I252" s="1" t="s">
        <v>65</v>
      </c>
      <c r="J252" s="1" t="s">
        <v>45</v>
      </c>
      <c r="K252" s="1" t="s">
        <v>121</v>
      </c>
      <c r="L252" s="1" t="s">
        <v>46</v>
      </c>
      <c r="M252" s="2" t="s">
        <v>1488</v>
      </c>
    </row>
    <row r="253">
      <c r="A253" s="1" t="s">
        <v>1489</v>
      </c>
      <c r="B253" s="1" t="s">
        <v>1490</v>
      </c>
      <c r="C253" s="2" t="s">
        <v>1491</v>
      </c>
      <c r="D253" s="2" t="s">
        <v>1492</v>
      </c>
      <c r="E253" s="1" t="s">
        <v>42</v>
      </c>
      <c r="F253" s="2" t="s">
        <v>870</v>
      </c>
      <c r="G253" s="2" t="s">
        <v>63</v>
      </c>
      <c r="H253" s="2" t="s">
        <v>141</v>
      </c>
      <c r="I253" s="1" t="s">
        <v>55</v>
      </c>
      <c r="J253" s="1" t="s">
        <v>73</v>
      </c>
      <c r="K253" s="1" t="s">
        <v>23</v>
      </c>
      <c r="L253" s="1" t="s">
        <v>46</v>
      </c>
      <c r="M253" s="2" t="s">
        <v>1493</v>
      </c>
    </row>
    <row r="254">
      <c r="A254" s="1" t="s">
        <v>1494</v>
      </c>
      <c r="B254" s="1" t="s">
        <v>1495</v>
      </c>
      <c r="C254" s="2" t="s">
        <v>777</v>
      </c>
      <c r="D254" s="2" t="s">
        <v>1496</v>
      </c>
      <c r="E254" s="1" t="s">
        <v>17</v>
      </c>
      <c r="F254" s="2" t="s">
        <v>1497</v>
      </c>
      <c r="G254" s="2" t="s">
        <v>19</v>
      </c>
      <c r="H254" s="2" t="s">
        <v>128</v>
      </c>
      <c r="I254" s="1" t="s">
        <v>34</v>
      </c>
      <c r="J254" s="1" t="s">
        <v>45</v>
      </c>
      <c r="K254" s="1" t="s">
        <v>121</v>
      </c>
      <c r="L254" s="1" t="s">
        <v>36</v>
      </c>
      <c r="M254" s="2" t="s">
        <v>1498</v>
      </c>
    </row>
    <row r="255">
      <c r="A255" s="1" t="s">
        <v>1499</v>
      </c>
      <c r="B255" s="1" t="s">
        <v>1500</v>
      </c>
      <c r="C255" s="2" t="s">
        <v>628</v>
      </c>
      <c r="D255" s="2" t="s">
        <v>1501</v>
      </c>
      <c r="E255" s="1" t="s">
        <v>17</v>
      </c>
      <c r="F255" s="2" t="s">
        <v>1502</v>
      </c>
      <c r="G255" s="2" t="s">
        <v>19</v>
      </c>
      <c r="H255" s="2" t="s">
        <v>95</v>
      </c>
      <c r="I255" s="1" t="s">
        <v>55</v>
      </c>
      <c r="J255" s="1" t="s">
        <v>73</v>
      </c>
      <c r="K255" s="1" t="s">
        <v>81</v>
      </c>
      <c r="L255" s="1" t="s">
        <v>46</v>
      </c>
      <c r="M255" s="2" t="s">
        <v>1503</v>
      </c>
    </row>
    <row r="256">
      <c r="A256" s="1" t="s">
        <v>1504</v>
      </c>
      <c r="B256" s="1" t="s">
        <v>1505</v>
      </c>
      <c r="C256" s="2" t="s">
        <v>355</v>
      </c>
      <c r="D256" s="2" t="s">
        <v>1506</v>
      </c>
      <c r="E256" s="1" t="s">
        <v>17</v>
      </c>
      <c r="F256" s="2" t="s">
        <v>1507</v>
      </c>
      <c r="G256" s="2" t="s">
        <v>63</v>
      </c>
      <c r="H256" s="2" t="s">
        <v>114</v>
      </c>
      <c r="I256" s="1" t="s">
        <v>55</v>
      </c>
      <c r="J256" s="1" t="s">
        <v>73</v>
      </c>
      <c r="K256" s="1" t="s">
        <v>121</v>
      </c>
      <c r="L256" s="1" t="s">
        <v>36</v>
      </c>
      <c r="M256" s="2" t="s">
        <v>1508</v>
      </c>
    </row>
    <row r="257">
      <c r="A257" s="1" t="s">
        <v>1509</v>
      </c>
      <c r="B257" s="1" t="s">
        <v>1510</v>
      </c>
      <c r="C257" s="2" t="s">
        <v>230</v>
      </c>
      <c r="D257" s="2" t="s">
        <v>1511</v>
      </c>
      <c r="E257" s="1" t="s">
        <v>200</v>
      </c>
      <c r="F257" s="2" t="s">
        <v>1512</v>
      </c>
      <c r="G257" s="2" t="s">
        <v>63</v>
      </c>
      <c r="H257" s="2" t="s">
        <v>80</v>
      </c>
      <c r="I257" s="1" t="s">
        <v>34</v>
      </c>
      <c r="J257" s="1" t="s">
        <v>45</v>
      </c>
      <c r="K257" s="1" t="s">
        <v>35</v>
      </c>
      <c r="L257" s="1" t="s">
        <v>46</v>
      </c>
      <c r="M257" s="2" t="s">
        <v>1513</v>
      </c>
    </row>
    <row r="258">
      <c r="A258" s="1" t="s">
        <v>1514</v>
      </c>
      <c r="B258" s="1" t="s">
        <v>1515</v>
      </c>
      <c r="C258" s="2" t="s">
        <v>1516</v>
      </c>
      <c r="D258" s="2" t="s">
        <v>1517</v>
      </c>
      <c r="E258" s="1" t="s">
        <v>30</v>
      </c>
      <c r="F258" s="2" t="s">
        <v>1518</v>
      </c>
      <c r="G258" s="2" t="s">
        <v>19</v>
      </c>
      <c r="H258" s="2" t="s">
        <v>33</v>
      </c>
      <c r="I258" s="1" t="s">
        <v>55</v>
      </c>
      <c r="J258" s="1" t="s">
        <v>22</v>
      </c>
      <c r="K258" s="1" t="s">
        <v>121</v>
      </c>
      <c r="L258" s="1" t="s">
        <v>24</v>
      </c>
      <c r="M258" s="2" t="s">
        <v>1519</v>
      </c>
    </row>
    <row r="259">
      <c r="A259" s="1" t="s">
        <v>1520</v>
      </c>
      <c r="B259" s="1" t="s">
        <v>1521</v>
      </c>
      <c r="C259" s="2" t="s">
        <v>824</v>
      </c>
      <c r="D259" s="2" t="s">
        <v>1522</v>
      </c>
      <c r="E259" s="1" t="s">
        <v>30</v>
      </c>
      <c r="F259" s="2" t="s">
        <v>1523</v>
      </c>
      <c r="G259" s="2" t="s">
        <v>63</v>
      </c>
      <c r="H259" s="2" t="s">
        <v>33</v>
      </c>
      <c r="I259" s="1" t="s">
        <v>65</v>
      </c>
      <c r="J259" s="1" t="s">
        <v>45</v>
      </c>
      <c r="K259" s="1" t="s">
        <v>121</v>
      </c>
      <c r="L259" s="1" t="s">
        <v>46</v>
      </c>
      <c r="M259" s="2" t="s">
        <v>1524</v>
      </c>
    </row>
    <row r="260">
      <c r="A260" s="1" t="s">
        <v>1525</v>
      </c>
      <c r="B260" s="1" t="s">
        <v>1526</v>
      </c>
      <c r="C260" s="2" t="s">
        <v>1527</v>
      </c>
      <c r="D260" s="2" t="s">
        <v>1528</v>
      </c>
      <c r="E260" s="1" t="s">
        <v>30</v>
      </c>
      <c r="F260" s="2" t="s">
        <v>1529</v>
      </c>
      <c r="G260" s="2" t="s">
        <v>19</v>
      </c>
      <c r="H260" s="2" t="s">
        <v>64</v>
      </c>
      <c r="I260" s="1" t="s">
        <v>65</v>
      </c>
      <c r="J260" s="1" t="s">
        <v>73</v>
      </c>
      <c r="K260" s="1" t="s">
        <v>23</v>
      </c>
      <c r="L260" s="1" t="s">
        <v>46</v>
      </c>
      <c r="M260" s="2" t="s">
        <v>1530</v>
      </c>
    </row>
    <row r="261">
      <c r="A261" s="1" t="s">
        <v>1531</v>
      </c>
      <c r="B261" s="1" t="s">
        <v>1532</v>
      </c>
      <c r="C261" s="2" t="s">
        <v>1248</v>
      </c>
      <c r="D261" s="2" t="s">
        <v>1533</v>
      </c>
      <c r="E261" s="1" t="s">
        <v>30</v>
      </c>
      <c r="F261" s="2" t="s">
        <v>1534</v>
      </c>
      <c r="G261" s="2" t="s">
        <v>44</v>
      </c>
      <c r="H261" s="2" t="s">
        <v>194</v>
      </c>
      <c r="I261" s="1" t="s">
        <v>34</v>
      </c>
      <c r="J261" s="1" t="s">
        <v>22</v>
      </c>
      <c r="K261" s="1" t="s">
        <v>23</v>
      </c>
      <c r="L261" s="1" t="s">
        <v>36</v>
      </c>
      <c r="M261" s="2" t="s">
        <v>1535</v>
      </c>
    </row>
    <row r="262">
      <c r="A262" s="1" t="s">
        <v>1536</v>
      </c>
      <c r="B262" s="1" t="s">
        <v>1537</v>
      </c>
      <c r="C262" s="2" t="s">
        <v>1183</v>
      </c>
      <c r="D262" s="2" t="s">
        <v>1538</v>
      </c>
      <c r="E262" s="1" t="s">
        <v>17</v>
      </c>
      <c r="F262" s="2" t="s">
        <v>1539</v>
      </c>
      <c r="G262" s="2" t="s">
        <v>44</v>
      </c>
      <c r="H262" s="2" t="s">
        <v>95</v>
      </c>
      <c r="I262" s="1" t="s">
        <v>34</v>
      </c>
      <c r="J262" s="1" t="s">
        <v>73</v>
      </c>
      <c r="K262" s="1" t="s">
        <v>81</v>
      </c>
      <c r="L262" s="1" t="s">
        <v>36</v>
      </c>
      <c r="M262" s="2" t="s">
        <v>1540</v>
      </c>
    </row>
    <row r="263">
      <c r="A263" s="1" t="s">
        <v>1541</v>
      </c>
      <c r="B263" s="1" t="s">
        <v>1542</v>
      </c>
      <c r="C263" s="2" t="s">
        <v>742</v>
      </c>
      <c r="D263" s="2" t="s">
        <v>1543</v>
      </c>
      <c r="E263" s="1" t="s">
        <v>30</v>
      </c>
      <c r="F263" s="2" t="s">
        <v>1012</v>
      </c>
      <c r="G263" s="2" t="s">
        <v>44</v>
      </c>
      <c r="H263" s="2" t="s">
        <v>20</v>
      </c>
      <c r="I263" s="1" t="s">
        <v>55</v>
      </c>
      <c r="J263" s="1" t="s">
        <v>56</v>
      </c>
      <c r="K263" s="1" t="s">
        <v>81</v>
      </c>
      <c r="L263" s="1" t="s">
        <v>36</v>
      </c>
      <c r="M263" s="2" t="s">
        <v>1544</v>
      </c>
    </row>
    <row r="264">
      <c r="A264" s="1" t="s">
        <v>1545</v>
      </c>
      <c r="B264" s="1" t="s">
        <v>1546</v>
      </c>
      <c r="C264" s="2" t="s">
        <v>434</v>
      </c>
      <c r="D264" s="2" t="s">
        <v>1547</v>
      </c>
      <c r="E264" s="1" t="s">
        <v>52</v>
      </c>
      <c r="F264" s="2" t="s">
        <v>1548</v>
      </c>
      <c r="G264" s="2" t="s">
        <v>44</v>
      </c>
      <c r="H264" s="2" t="s">
        <v>33</v>
      </c>
      <c r="I264" s="1" t="s">
        <v>21</v>
      </c>
      <c r="J264" s="1" t="s">
        <v>22</v>
      </c>
      <c r="K264" s="1" t="s">
        <v>81</v>
      </c>
      <c r="L264" s="1" t="s">
        <v>36</v>
      </c>
      <c r="M264" s="2" t="s">
        <v>1549</v>
      </c>
    </row>
    <row r="265">
      <c r="A265" s="1" t="s">
        <v>1550</v>
      </c>
      <c r="B265" s="1" t="s">
        <v>1551</v>
      </c>
      <c r="C265" s="2" t="s">
        <v>1552</v>
      </c>
      <c r="D265" s="2" t="s">
        <v>1553</v>
      </c>
      <c r="E265" s="1" t="s">
        <v>42</v>
      </c>
      <c r="F265" s="2" t="s">
        <v>1554</v>
      </c>
      <c r="G265" s="2" t="s">
        <v>32</v>
      </c>
      <c r="H265" s="2" t="s">
        <v>326</v>
      </c>
      <c r="I265" s="1" t="s">
        <v>21</v>
      </c>
      <c r="J265" s="1" t="s">
        <v>73</v>
      </c>
      <c r="K265" s="1" t="s">
        <v>121</v>
      </c>
      <c r="L265" s="1" t="s">
        <v>24</v>
      </c>
      <c r="M265" s="2" t="s">
        <v>1555</v>
      </c>
    </row>
    <row r="266">
      <c r="A266" s="1" t="s">
        <v>1556</v>
      </c>
      <c r="B266" s="1" t="s">
        <v>1557</v>
      </c>
      <c r="C266" s="2" t="s">
        <v>1558</v>
      </c>
      <c r="D266" s="2" t="s">
        <v>1559</v>
      </c>
      <c r="E266" s="1" t="s">
        <v>52</v>
      </c>
      <c r="F266" s="2" t="s">
        <v>1560</v>
      </c>
      <c r="G266" s="2" t="s">
        <v>32</v>
      </c>
      <c r="H266" s="2" t="s">
        <v>95</v>
      </c>
      <c r="I266" s="1" t="s">
        <v>65</v>
      </c>
      <c r="J266" s="1" t="s">
        <v>22</v>
      </c>
      <c r="K266" s="1" t="s">
        <v>81</v>
      </c>
      <c r="L266" s="1" t="s">
        <v>24</v>
      </c>
      <c r="M266" s="2" t="s">
        <v>1561</v>
      </c>
    </row>
    <row r="267">
      <c r="A267" s="1" t="s">
        <v>1562</v>
      </c>
      <c r="B267" s="1" t="s">
        <v>1563</v>
      </c>
      <c r="C267" s="2" t="s">
        <v>118</v>
      </c>
      <c r="D267" s="2" t="s">
        <v>1564</v>
      </c>
      <c r="E267" s="1" t="s">
        <v>42</v>
      </c>
      <c r="F267" s="2" t="s">
        <v>1565</v>
      </c>
      <c r="G267" s="2" t="s">
        <v>44</v>
      </c>
      <c r="H267" s="2" t="s">
        <v>33</v>
      </c>
      <c r="I267" s="1" t="s">
        <v>34</v>
      </c>
      <c r="J267" s="1" t="s">
        <v>73</v>
      </c>
      <c r="K267" s="1" t="s">
        <v>81</v>
      </c>
      <c r="L267" s="1" t="s">
        <v>24</v>
      </c>
      <c r="M267" s="2" t="s">
        <v>1566</v>
      </c>
    </row>
    <row r="268">
      <c r="A268" s="1" t="s">
        <v>1567</v>
      </c>
      <c r="B268" s="1" t="s">
        <v>1568</v>
      </c>
      <c r="C268" s="2" t="s">
        <v>1569</v>
      </c>
      <c r="D268" s="2" t="s">
        <v>1570</v>
      </c>
      <c r="E268" s="1" t="s">
        <v>200</v>
      </c>
      <c r="F268" s="2" t="s">
        <v>1571</v>
      </c>
      <c r="G268" s="2" t="s">
        <v>63</v>
      </c>
      <c r="H268" s="2" t="s">
        <v>345</v>
      </c>
      <c r="I268" s="1" t="s">
        <v>55</v>
      </c>
      <c r="J268" s="1" t="s">
        <v>56</v>
      </c>
      <c r="K268" s="1" t="s">
        <v>35</v>
      </c>
      <c r="L268" s="1" t="s">
        <v>36</v>
      </c>
      <c r="M268" s="2" t="s">
        <v>1572</v>
      </c>
    </row>
    <row r="269">
      <c r="A269" s="1" t="s">
        <v>1573</v>
      </c>
      <c r="B269" s="1" t="s">
        <v>1574</v>
      </c>
      <c r="C269" s="2" t="s">
        <v>191</v>
      </c>
      <c r="D269" s="2" t="s">
        <v>1575</v>
      </c>
      <c r="E269" s="1" t="s">
        <v>200</v>
      </c>
      <c r="F269" s="2" t="s">
        <v>1576</v>
      </c>
      <c r="G269" s="2" t="s">
        <v>44</v>
      </c>
      <c r="H269" s="2" t="s">
        <v>194</v>
      </c>
      <c r="I269" s="1" t="s">
        <v>55</v>
      </c>
      <c r="J269" s="1" t="s">
        <v>45</v>
      </c>
      <c r="K269" s="1" t="s">
        <v>88</v>
      </c>
      <c r="L269" s="1" t="s">
        <v>36</v>
      </c>
      <c r="M269" s="2" t="s">
        <v>1577</v>
      </c>
    </row>
    <row r="270">
      <c r="A270" s="1" t="s">
        <v>1578</v>
      </c>
      <c r="B270" s="1" t="s">
        <v>1579</v>
      </c>
      <c r="C270" s="2" t="s">
        <v>60</v>
      </c>
      <c r="D270" s="2" t="s">
        <v>1580</v>
      </c>
      <c r="E270" s="1" t="s">
        <v>52</v>
      </c>
      <c r="F270" s="2" t="s">
        <v>1581</v>
      </c>
      <c r="G270" s="2" t="s">
        <v>63</v>
      </c>
      <c r="H270" s="2" t="s">
        <v>194</v>
      </c>
      <c r="I270" s="1" t="s">
        <v>65</v>
      </c>
      <c r="J270" s="1" t="s">
        <v>45</v>
      </c>
      <c r="K270" s="1" t="s">
        <v>88</v>
      </c>
      <c r="L270" s="1" t="s">
        <v>24</v>
      </c>
      <c r="M270" s="2" t="s">
        <v>1582</v>
      </c>
    </row>
    <row r="271">
      <c r="A271" s="1" t="s">
        <v>1583</v>
      </c>
      <c r="B271" s="1" t="s">
        <v>1584</v>
      </c>
      <c r="C271" s="2" t="s">
        <v>85</v>
      </c>
      <c r="D271" s="2" t="s">
        <v>1585</v>
      </c>
      <c r="E271" s="1" t="s">
        <v>30</v>
      </c>
      <c r="F271" s="2" t="s">
        <v>1586</v>
      </c>
      <c r="G271" s="2" t="s">
        <v>32</v>
      </c>
      <c r="H271" s="2" t="s">
        <v>20</v>
      </c>
      <c r="I271" s="1" t="s">
        <v>65</v>
      </c>
      <c r="J271" s="1" t="s">
        <v>45</v>
      </c>
      <c r="K271" s="1" t="s">
        <v>35</v>
      </c>
      <c r="L271" s="1" t="s">
        <v>24</v>
      </c>
      <c r="M271" s="2" t="s">
        <v>1587</v>
      </c>
    </row>
    <row r="272">
      <c r="A272" s="1" t="s">
        <v>1588</v>
      </c>
      <c r="B272" s="1" t="s">
        <v>1589</v>
      </c>
      <c r="C272" s="2" t="s">
        <v>434</v>
      </c>
      <c r="D272" s="2" t="s">
        <v>1590</v>
      </c>
      <c r="E272" s="1" t="s">
        <v>30</v>
      </c>
      <c r="F272" s="2" t="s">
        <v>1591</v>
      </c>
      <c r="G272" s="2" t="s">
        <v>19</v>
      </c>
      <c r="H272" s="2" t="s">
        <v>326</v>
      </c>
      <c r="I272" s="1" t="s">
        <v>55</v>
      </c>
      <c r="J272" s="1" t="s">
        <v>73</v>
      </c>
      <c r="K272" s="1" t="s">
        <v>88</v>
      </c>
      <c r="L272" s="1" t="s">
        <v>46</v>
      </c>
      <c r="M272" s="2" t="s">
        <v>1592</v>
      </c>
    </row>
    <row r="273">
      <c r="A273" s="1" t="s">
        <v>1593</v>
      </c>
      <c r="B273" s="1" t="s">
        <v>1594</v>
      </c>
      <c r="C273" s="2" t="s">
        <v>1595</v>
      </c>
      <c r="D273" s="2" t="s">
        <v>1596</v>
      </c>
      <c r="E273" s="1" t="s">
        <v>52</v>
      </c>
      <c r="F273" s="2" t="s">
        <v>1597</v>
      </c>
      <c r="G273" s="2" t="s">
        <v>32</v>
      </c>
      <c r="H273" s="2" t="s">
        <v>141</v>
      </c>
      <c r="I273" s="1" t="s">
        <v>65</v>
      </c>
      <c r="J273" s="1" t="s">
        <v>56</v>
      </c>
      <c r="K273" s="1" t="s">
        <v>81</v>
      </c>
      <c r="L273" s="1" t="s">
        <v>36</v>
      </c>
      <c r="M273" s="2" t="s">
        <v>1598</v>
      </c>
    </row>
    <row r="274">
      <c r="A274" s="1" t="s">
        <v>1599</v>
      </c>
      <c r="B274" s="1" t="s">
        <v>1600</v>
      </c>
      <c r="C274" s="2" t="s">
        <v>880</v>
      </c>
      <c r="D274" s="2" t="s">
        <v>1601</v>
      </c>
      <c r="E274" s="1" t="s">
        <v>30</v>
      </c>
      <c r="F274" s="2" t="s">
        <v>1602</v>
      </c>
      <c r="G274" s="2" t="s">
        <v>19</v>
      </c>
      <c r="H274" s="2" t="s">
        <v>483</v>
      </c>
      <c r="I274" s="1" t="s">
        <v>55</v>
      </c>
      <c r="J274" s="1" t="s">
        <v>45</v>
      </c>
      <c r="K274" s="1" t="s">
        <v>35</v>
      </c>
      <c r="L274" s="1" t="s">
        <v>36</v>
      </c>
      <c r="M274" s="2" t="s">
        <v>1603</v>
      </c>
    </row>
    <row r="275">
      <c r="A275" s="1" t="s">
        <v>1604</v>
      </c>
      <c r="B275" s="1" t="s">
        <v>1605</v>
      </c>
      <c r="C275" s="2" t="s">
        <v>1361</v>
      </c>
      <c r="D275" s="2" t="s">
        <v>1606</v>
      </c>
      <c r="E275" s="1" t="s">
        <v>200</v>
      </c>
      <c r="F275" s="2" t="s">
        <v>1607</v>
      </c>
      <c r="G275" s="2" t="s">
        <v>63</v>
      </c>
      <c r="H275" s="2" t="s">
        <v>114</v>
      </c>
      <c r="I275" s="1" t="s">
        <v>55</v>
      </c>
      <c r="J275" s="1" t="s">
        <v>56</v>
      </c>
      <c r="K275" s="1" t="s">
        <v>23</v>
      </c>
      <c r="L275" s="1" t="s">
        <v>36</v>
      </c>
      <c r="M275" s="2" t="s">
        <v>1608</v>
      </c>
    </row>
    <row r="276">
      <c r="A276" s="1" t="s">
        <v>1609</v>
      </c>
      <c r="B276" s="1" t="s">
        <v>1610</v>
      </c>
      <c r="C276" s="2" t="s">
        <v>1611</v>
      </c>
      <c r="D276" s="2" t="s">
        <v>1612</v>
      </c>
      <c r="E276" s="1" t="s">
        <v>200</v>
      </c>
      <c r="F276" s="2" t="s">
        <v>1613</v>
      </c>
      <c r="G276" s="2" t="s">
        <v>44</v>
      </c>
      <c r="H276" s="2" t="s">
        <v>54</v>
      </c>
      <c r="I276" s="1" t="s">
        <v>65</v>
      </c>
      <c r="J276" s="1" t="s">
        <v>73</v>
      </c>
      <c r="K276" s="1" t="s">
        <v>88</v>
      </c>
      <c r="L276" s="1" t="s">
        <v>24</v>
      </c>
      <c r="M276" s="2" t="s">
        <v>1614</v>
      </c>
    </row>
    <row r="277">
      <c r="A277" s="1" t="s">
        <v>1615</v>
      </c>
      <c r="B277" s="1" t="s">
        <v>1616</v>
      </c>
      <c r="C277" s="2" t="s">
        <v>1617</v>
      </c>
      <c r="D277" s="2" t="s">
        <v>1618</v>
      </c>
      <c r="E277" s="1" t="s">
        <v>17</v>
      </c>
      <c r="F277" s="2" t="s">
        <v>1619</v>
      </c>
      <c r="G277" s="2" t="s">
        <v>19</v>
      </c>
      <c r="H277" s="2" t="s">
        <v>114</v>
      </c>
      <c r="I277" s="1" t="s">
        <v>65</v>
      </c>
      <c r="J277" s="1" t="s">
        <v>22</v>
      </c>
      <c r="K277" s="1" t="s">
        <v>81</v>
      </c>
      <c r="L277" s="1" t="s">
        <v>24</v>
      </c>
      <c r="M277" s="2" t="s">
        <v>1620</v>
      </c>
    </row>
    <row r="278">
      <c r="A278" s="1" t="s">
        <v>1621</v>
      </c>
      <c r="B278" s="1" t="s">
        <v>1622</v>
      </c>
      <c r="C278" s="2" t="s">
        <v>1623</v>
      </c>
      <c r="D278" s="2" t="s">
        <v>1624</v>
      </c>
      <c r="E278" s="1" t="s">
        <v>52</v>
      </c>
      <c r="F278" s="2" t="s">
        <v>1625</v>
      </c>
      <c r="G278" s="2" t="s">
        <v>19</v>
      </c>
      <c r="H278" s="2" t="s">
        <v>54</v>
      </c>
      <c r="I278" s="1" t="s">
        <v>21</v>
      </c>
      <c r="J278" s="1" t="s">
        <v>56</v>
      </c>
      <c r="K278" s="1" t="s">
        <v>23</v>
      </c>
      <c r="L278" s="1" t="s">
        <v>36</v>
      </c>
      <c r="M278" s="2" t="s">
        <v>1626</v>
      </c>
    </row>
    <row r="279">
      <c r="A279" s="1" t="s">
        <v>1627</v>
      </c>
      <c r="B279" s="1" t="s">
        <v>1628</v>
      </c>
      <c r="C279" s="2" t="s">
        <v>389</v>
      </c>
      <c r="D279" s="2" t="s">
        <v>1629</v>
      </c>
      <c r="E279" s="1" t="s">
        <v>52</v>
      </c>
      <c r="F279" s="2" t="s">
        <v>1630</v>
      </c>
      <c r="G279" s="2" t="s">
        <v>44</v>
      </c>
      <c r="H279" s="2" t="s">
        <v>141</v>
      </c>
      <c r="I279" s="1" t="s">
        <v>21</v>
      </c>
      <c r="J279" s="1" t="s">
        <v>45</v>
      </c>
      <c r="K279" s="1" t="s">
        <v>88</v>
      </c>
      <c r="L279" s="1" t="s">
        <v>36</v>
      </c>
      <c r="M279" s="2" t="s">
        <v>1631</v>
      </c>
    </row>
    <row r="280">
      <c r="A280" s="1" t="s">
        <v>1632</v>
      </c>
      <c r="B280" s="1" t="s">
        <v>1633</v>
      </c>
      <c r="C280" s="2" t="s">
        <v>1634</v>
      </c>
      <c r="D280" s="2" t="s">
        <v>1635</v>
      </c>
      <c r="E280" s="1" t="s">
        <v>42</v>
      </c>
      <c r="F280" s="2" t="s">
        <v>1636</v>
      </c>
      <c r="G280" s="2" t="s">
        <v>63</v>
      </c>
      <c r="H280" s="2" t="s">
        <v>518</v>
      </c>
      <c r="I280" s="1" t="s">
        <v>65</v>
      </c>
      <c r="J280" s="1" t="s">
        <v>22</v>
      </c>
      <c r="K280" s="1" t="s">
        <v>81</v>
      </c>
      <c r="L280" s="1" t="s">
        <v>24</v>
      </c>
      <c r="M280" s="2" t="s">
        <v>1637</v>
      </c>
    </row>
    <row r="281">
      <c r="A281" s="1" t="s">
        <v>1638</v>
      </c>
      <c r="B281" s="1" t="s">
        <v>1639</v>
      </c>
      <c r="C281" s="2" t="s">
        <v>1640</v>
      </c>
      <c r="D281" s="2" t="s">
        <v>1641</v>
      </c>
      <c r="E281" s="1" t="s">
        <v>52</v>
      </c>
      <c r="F281" s="2" t="s">
        <v>1642</v>
      </c>
      <c r="G281" s="2" t="s">
        <v>44</v>
      </c>
      <c r="H281" s="2" t="s">
        <v>64</v>
      </c>
      <c r="I281" s="1" t="s">
        <v>21</v>
      </c>
      <c r="J281" s="1" t="s">
        <v>45</v>
      </c>
      <c r="K281" s="1" t="s">
        <v>23</v>
      </c>
      <c r="L281" s="1" t="s">
        <v>36</v>
      </c>
      <c r="M281" s="2" t="s">
        <v>1643</v>
      </c>
    </row>
    <row r="282">
      <c r="A282" s="1" t="s">
        <v>1644</v>
      </c>
      <c r="B282" s="1" t="s">
        <v>1645</v>
      </c>
      <c r="C282" s="2" t="s">
        <v>1646</v>
      </c>
      <c r="D282" s="2" t="s">
        <v>1647</v>
      </c>
      <c r="E282" s="1" t="s">
        <v>42</v>
      </c>
      <c r="F282" s="2" t="s">
        <v>1648</v>
      </c>
      <c r="G282" s="2" t="s">
        <v>44</v>
      </c>
      <c r="H282" s="2" t="s">
        <v>20</v>
      </c>
      <c r="I282" s="1" t="s">
        <v>21</v>
      </c>
      <c r="J282" s="1" t="s">
        <v>56</v>
      </c>
      <c r="K282" s="1" t="s">
        <v>35</v>
      </c>
      <c r="L282" s="1" t="s">
        <v>36</v>
      </c>
      <c r="M282" s="2" t="s">
        <v>1649</v>
      </c>
    </row>
    <row r="283">
      <c r="A283" s="1" t="s">
        <v>1650</v>
      </c>
      <c r="B283" s="1" t="s">
        <v>1651</v>
      </c>
      <c r="C283" s="2" t="s">
        <v>594</v>
      </c>
      <c r="D283" s="2" t="s">
        <v>1652</v>
      </c>
      <c r="E283" s="1" t="s">
        <v>52</v>
      </c>
      <c r="F283" s="2" t="s">
        <v>1653</v>
      </c>
      <c r="G283" s="2" t="s">
        <v>32</v>
      </c>
      <c r="H283" s="2" t="s">
        <v>194</v>
      </c>
      <c r="I283" s="1" t="s">
        <v>21</v>
      </c>
      <c r="J283" s="1" t="s">
        <v>56</v>
      </c>
      <c r="K283" s="1" t="s">
        <v>23</v>
      </c>
      <c r="L283" s="1" t="s">
        <v>46</v>
      </c>
      <c r="M283" s="2" t="s">
        <v>1654</v>
      </c>
    </row>
    <row r="284">
      <c r="A284" s="1" t="s">
        <v>1655</v>
      </c>
      <c r="B284" s="1" t="s">
        <v>1656</v>
      </c>
      <c r="C284" s="2" t="s">
        <v>1657</v>
      </c>
      <c r="D284" s="2" t="s">
        <v>1658</v>
      </c>
      <c r="E284" s="1" t="s">
        <v>200</v>
      </c>
      <c r="F284" s="2" t="s">
        <v>1659</v>
      </c>
      <c r="G284" s="2" t="s">
        <v>63</v>
      </c>
      <c r="H284" s="2" t="s">
        <v>72</v>
      </c>
      <c r="I284" s="1" t="s">
        <v>65</v>
      </c>
      <c r="J284" s="1" t="s">
        <v>73</v>
      </c>
      <c r="K284" s="1" t="s">
        <v>121</v>
      </c>
      <c r="L284" s="1" t="s">
        <v>46</v>
      </c>
      <c r="M284" s="2" t="s">
        <v>1660</v>
      </c>
    </row>
    <row r="285">
      <c r="A285" s="1" t="s">
        <v>1661</v>
      </c>
      <c r="B285" s="1" t="s">
        <v>1662</v>
      </c>
      <c r="C285" s="2" t="s">
        <v>1457</v>
      </c>
      <c r="D285" s="2" t="s">
        <v>1663</v>
      </c>
      <c r="E285" s="1" t="s">
        <v>200</v>
      </c>
      <c r="F285" s="2" t="s">
        <v>1664</v>
      </c>
      <c r="G285" s="2" t="s">
        <v>19</v>
      </c>
      <c r="H285" s="2" t="s">
        <v>54</v>
      </c>
      <c r="I285" s="1" t="s">
        <v>21</v>
      </c>
      <c r="J285" s="1" t="s">
        <v>45</v>
      </c>
      <c r="K285" s="1" t="s">
        <v>23</v>
      </c>
      <c r="L285" s="1" t="s">
        <v>24</v>
      </c>
      <c r="M285" s="2" t="s">
        <v>1665</v>
      </c>
    </row>
    <row r="286">
      <c r="A286" s="1" t="s">
        <v>1666</v>
      </c>
      <c r="B286" s="1" t="s">
        <v>1667</v>
      </c>
      <c r="C286" s="2" t="s">
        <v>1668</v>
      </c>
      <c r="D286" s="2" t="s">
        <v>1669</v>
      </c>
      <c r="E286" s="1" t="s">
        <v>42</v>
      </c>
      <c r="F286" s="2" t="s">
        <v>1670</v>
      </c>
      <c r="G286" s="2" t="s">
        <v>44</v>
      </c>
      <c r="H286" s="2" t="s">
        <v>194</v>
      </c>
      <c r="I286" s="1" t="s">
        <v>21</v>
      </c>
      <c r="J286" s="1" t="s">
        <v>73</v>
      </c>
      <c r="K286" s="1" t="s">
        <v>88</v>
      </c>
      <c r="L286" s="1" t="s">
        <v>46</v>
      </c>
      <c r="M286" s="2" t="s">
        <v>1671</v>
      </c>
    </row>
    <row r="287">
      <c r="A287" s="1" t="s">
        <v>1672</v>
      </c>
      <c r="B287" s="1" t="s">
        <v>1673</v>
      </c>
      <c r="C287" s="2" t="s">
        <v>1674</v>
      </c>
      <c r="D287" s="2" t="s">
        <v>1675</v>
      </c>
      <c r="E287" s="1" t="s">
        <v>200</v>
      </c>
      <c r="F287" s="2" t="s">
        <v>1676</v>
      </c>
      <c r="G287" s="2" t="s">
        <v>32</v>
      </c>
      <c r="H287" s="2" t="s">
        <v>326</v>
      </c>
      <c r="I287" s="1" t="s">
        <v>34</v>
      </c>
      <c r="J287" s="1" t="s">
        <v>22</v>
      </c>
      <c r="K287" s="1" t="s">
        <v>88</v>
      </c>
      <c r="L287" s="1" t="s">
        <v>46</v>
      </c>
      <c r="M287" s="2" t="s">
        <v>1677</v>
      </c>
    </row>
    <row r="288">
      <c r="A288" s="1" t="s">
        <v>1678</v>
      </c>
      <c r="B288" s="1" t="s">
        <v>1679</v>
      </c>
      <c r="C288" s="2" t="s">
        <v>1172</v>
      </c>
      <c r="D288" s="2" t="s">
        <v>1680</v>
      </c>
      <c r="E288" s="1" t="s">
        <v>42</v>
      </c>
      <c r="F288" s="2" t="s">
        <v>1681</v>
      </c>
      <c r="G288" s="2" t="s">
        <v>19</v>
      </c>
      <c r="H288" s="2" t="s">
        <v>33</v>
      </c>
      <c r="I288" s="1" t="s">
        <v>55</v>
      </c>
      <c r="J288" s="1" t="s">
        <v>56</v>
      </c>
      <c r="K288" s="1" t="s">
        <v>88</v>
      </c>
      <c r="L288" s="1" t="s">
        <v>36</v>
      </c>
      <c r="M288" s="2" t="s">
        <v>1682</v>
      </c>
    </row>
    <row r="289">
      <c r="A289" s="1" t="s">
        <v>1683</v>
      </c>
      <c r="B289" s="1" t="s">
        <v>1684</v>
      </c>
      <c r="C289" s="2" t="s">
        <v>464</v>
      </c>
      <c r="D289" s="2" t="s">
        <v>1685</v>
      </c>
      <c r="E289" s="1" t="s">
        <v>52</v>
      </c>
      <c r="F289" s="2" t="s">
        <v>1686</v>
      </c>
      <c r="G289" s="2" t="s">
        <v>44</v>
      </c>
      <c r="H289" s="2" t="s">
        <v>20</v>
      </c>
      <c r="I289" s="1" t="s">
        <v>34</v>
      </c>
      <c r="J289" s="1" t="s">
        <v>73</v>
      </c>
      <c r="K289" s="1" t="s">
        <v>81</v>
      </c>
      <c r="L289" s="1" t="s">
        <v>46</v>
      </c>
      <c r="M289" s="2" t="s">
        <v>1687</v>
      </c>
    </row>
    <row r="290">
      <c r="A290" s="1" t="s">
        <v>1688</v>
      </c>
      <c r="B290" s="1" t="s">
        <v>1689</v>
      </c>
      <c r="C290" s="2" t="s">
        <v>576</v>
      </c>
      <c r="D290" s="2" t="s">
        <v>1690</v>
      </c>
      <c r="E290" s="1" t="s">
        <v>42</v>
      </c>
      <c r="F290" s="2" t="s">
        <v>1691</v>
      </c>
      <c r="G290" s="2" t="s">
        <v>44</v>
      </c>
      <c r="H290" s="2" t="s">
        <v>518</v>
      </c>
      <c r="I290" s="1" t="s">
        <v>21</v>
      </c>
      <c r="J290" s="1" t="s">
        <v>56</v>
      </c>
      <c r="K290" s="1" t="s">
        <v>88</v>
      </c>
      <c r="L290" s="1" t="s">
        <v>24</v>
      </c>
      <c r="M290" s="2" t="s">
        <v>1692</v>
      </c>
    </row>
    <row r="291">
      <c r="A291" s="1" t="s">
        <v>1693</v>
      </c>
      <c r="B291" s="1" t="s">
        <v>1694</v>
      </c>
      <c r="C291" s="2" t="s">
        <v>157</v>
      </c>
      <c r="D291" s="2" t="s">
        <v>1695</v>
      </c>
      <c r="E291" s="1" t="s">
        <v>200</v>
      </c>
      <c r="F291" s="2" t="s">
        <v>1696</v>
      </c>
      <c r="G291" s="2" t="s">
        <v>63</v>
      </c>
      <c r="H291" s="2" t="s">
        <v>54</v>
      </c>
      <c r="I291" s="1" t="s">
        <v>55</v>
      </c>
      <c r="J291" s="1" t="s">
        <v>56</v>
      </c>
      <c r="K291" s="1" t="s">
        <v>88</v>
      </c>
      <c r="L291" s="1" t="s">
        <v>46</v>
      </c>
      <c r="M291" s="2" t="s">
        <v>1697</v>
      </c>
    </row>
    <row r="292">
      <c r="A292" s="1" t="s">
        <v>1698</v>
      </c>
      <c r="B292" s="1" t="s">
        <v>1699</v>
      </c>
      <c r="C292" s="2" t="s">
        <v>1700</v>
      </c>
      <c r="D292" s="2" t="s">
        <v>1701</v>
      </c>
      <c r="E292" s="1" t="s">
        <v>17</v>
      </c>
      <c r="F292" s="2" t="s">
        <v>1702</v>
      </c>
      <c r="G292" s="2" t="s">
        <v>44</v>
      </c>
      <c r="H292" s="2" t="s">
        <v>141</v>
      </c>
      <c r="I292" s="1" t="s">
        <v>55</v>
      </c>
      <c r="J292" s="1" t="s">
        <v>45</v>
      </c>
      <c r="K292" s="1" t="s">
        <v>81</v>
      </c>
      <c r="L292" s="1" t="s">
        <v>24</v>
      </c>
      <c r="M292" s="2" t="s">
        <v>1703</v>
      </c>
    </row>
    <row r="293">
      <c r="A293" s="1" t="s">
        <v>1704</v>
      </c>
      <c r="B293" s="1" t="s">
        <v>1705</v>
      </c>
      <c r="C293" s="2" t="s">
        <v>1706</v>
      </c>
      <c r="D293" s="2" t="s">
        <v>1707</v>
      </c>
      <c r="E293" s="1" t="s">
        <v>42</v>
      </c>
      <c r="F293" s="2" t="s">
        <v>1708</v>
      </c>
      <c r="G293" s="2" t="s">
        <v>19</v>
      </c>
      <c r="H293" s="2" t="s">
        <v>80</v>
      </c>
      <c r="I293" s="1" t="s">
        <v>21</v>
      </c>
      <c r="J293" s="1" t="s">
        <v>73</v>
      </c>
      <c r="K293" s="1" t="s">
        <v>88</v>
      </c>
      <c r="L293" s="1" t="s">
        <v>36</v>
      </c>
      <c r="M293" s="2" t="s">
        <v>1709</v>
      </c>
    </row>
    <row r="294">
      <c r="A294" s="1" t="s">
        <v>1710</v>
      </c>
      <c r="B294" s="1" t="s">
        <v>1711</v>
      </c>
      <c r="C294" s="2" t="s">
        <v>1712</v>
      </c>
      <c r="D294" s="2" t="s">
        <v>1713</v>
      </c>
      <c r="E294" s="1" t="s">
        <v>17</v>
      </c>
      <c r="F294" s="2" t="s">
        <v>1714</v>
      </c>
      <c r="G294" s="2" t="s">
        <v>19</v>
      </c>
      <c r="H294" s="2" t="s">
        <v>194</v>
      </c>
      <c r="I294" s="1" t="s">
        <v>55</v>
      </c>
      <c r="J294" s="1" t="s">
        <v>56</v>
      </c>
      <c r="K294" s="1" t="s">
        <v>81</v>
      </c>
      <c r="L294" s="1" t="s">
        <v>46</v>
      </c>
      <c r="M294" s="2" t="s">
        <v>1715</v>
      </c>
    </row>
    <row r="295">
      <c r="A295" s="1" t="s">
        <v>1716</v>
      </c>
      <c r="B295" s="1" t="s">
        <v>1717</v>
      </c>
      <c r="C295" s="2" t="s">
        <v>1144</v>
      </c>
      <c r="D295" s="2" t="s">
        <v>1718</v>
      </c>
      <c r="E295" s="1" t="s">
        <v>17</v>
      </c>
      <c r="F295" s="2" t="s">
        <v>1719</v>
      </c>
      <c r="G295" s="2" t="s">
        <v>32</v>
      </c>
      <c r="H295" s="2" t="s">
        <v>128</v>
      </c>
      <c r="I295" s="1" t="s">
        <v>34</v>
      </c>
      <c r="J295" s="1" t="s">
        <v>22</v>
      </c>
      <c r="K295" s="1" t="s">
        <v>35</v>
      </c>
      <c r="L295" s="1" t="s">
        <v>36</v>
      </c>
      <c r="M295" s="2" t="s">
        <v>1720</v>
      </c>
    </row>
    <row r="296">
      <c r="A296" s="1" t="s">
        <v>1721</v>
      </c>
      <c r="B296" s="1" t="s">
        <v>1722</v>
      </c>
      <c r="C296" s="2" t="s">
        <v>1723</v>
      </c>
      <c r="D296" s="2" t="s">
        <v>1724</v>
      </c>
      <c r="E296" s="1" t="s">
        <v>52</v>
      </c>
      <c r="F296" s="2" t="s">
        <v>1725</v>
      </c>
      <c r="G296" s="2" t="s">
        <v>44</v>
      </c>
      <c r="H296" s="2" t="s">
        <v>72</v>
      </c>
      <c r="I296" s="1" t="s">
        <v>65</v>
      </c>
      <c r="J296" s="1" t="s">
        <v>56</v>
      </c>
      <c r="K296" s="1" t="s">
        <v>88</v>
      </c>
      <c r="L296" s="1" t="s">
        <v>36</v>
      </c>
      <c r="M296" s="2" t="s">
        <v>1726</v>
      </c>
    </row>
    <row r="297">
      <c r="A297" s="1" t="s">
        <v>1727</v>
      </c>
      <c r="B297" s="1" t="s">
        <v>1728</v>
      </c>
      <c r="C297" s="2" t="s">
        <v>680</v>
      </c>
      <c r="D297" s="2" t="s">
        <v>1729</v>
      </c>
      <c r="E297" s="1" t="s">
        <v>42</v>
      </c>
      <c r="F297" s="2" t="s">
        <v>1730</v>
      </c>
      <c r="G297" s="2" t="s">
        <v>19</v>
      </c>
      <c r="H297" s="2" t="s">
        <v>214</v>
      </c>
      <c r="I297" s="1" t="s">
        <v>55</v>
      </c>
      <c r="J297" s="1" t="s">
        <v>22</v>
      </c>
      <c r="K297" s="1" t="s">
        <v>88</v>
      </c>
      <c r="L297" s="1" t="s">
        <v>36</v>
      </c>
      <c r="M297" s="2" t="s">
        <v>1731</v>
      </c>
    </row>
    <row r="298">
      <c r="A298" s="1" t="s">
        <v>1732</v>
      </c>
      <c r="B298" s="1" t="s">
        <v>1733</v>
      </c>
      <c r="C298" s="2" t="s">
        <v>1067</v>
      </c>
      <c r="D298" s="2" t="s">
        <v>1734</v>
      </c>
      <c r="E298" s="1" t="s">
        <v>30</v>
      </c>
      <c r="F298" s="2" t="s">
        <v>1735</v>
      </c>
      <c r="G298" s="2" t="s">
        <v>63</v>
      </c>
      <c r="H298" s="2" t="s">
        <v>54</v>
      </c>
      <c r="I298" s="1" t="s">
        <v>55</v>
      </c>
      <c r="J298" s="1" t="s">
        <v>56</v>
      </c>
      <c r="K298" s="1" t="s">
        <v>23</v>
      </c>
      <c r="L298" s="1" t="s">
        <v>46</v>
      </c>
      <c r="M298" s="2" t="s">
        <v>1736</v>
      </c>
    </row>
    <row r="299">
      <c r="A299" s="1" t="s">
        <v>1737</v>
      </c>
      <c r="B299" s="1" t="s">
        <v>1738</v>
      </c>
      <c r="C299" s="2" t="s">
        <v>1390</v>
      </c>
      <c r="D299" s="2" t="s">
        <v>1739</v>
      </c>
      <c r="E299" s="1" t="s">
        <v>42</v>
      </c>
      <c r="F299" s="2" t="s">
        <v>1740</v>
      </c>
      <c r="G299" s="2" t="s">
        <v>19</v>
      </c>
      <c r="H299" s="2" t="s">
        <v>54</v>
      </c>
      <c r="I299" s="1" t="s">
        <v>55</v>
      </c>
      <c r="J299" s="1" t="s">
        <v>73</v>
      </c>
      <c r="K299" s="1" t="s">
        <v>35</v>
      </c>
      <c r="L299" s="1" t="s">
        <v>24</v>
      </c>
      <c r="M299" s="2" t="s">
        <v>1741</v>
      </c>
    </row>
    <row r="300">
      <c r="A300" s="1" t="s">
        <v>1742</v>
      </c>
      <c r="B300" s="1" t="s">
        <v>1743</v>
      </c>
      <c r="C300" s="2" t="s">
        <v>1744</v>
      </c>
      <c r="D300" s="2" t="s">
        <v>1745</v>
      </c>
      <c r="E300" s="1" t="s">
        <v>52</v>
      </c>
      <c r="F300" s="2" t="s">
        <v>1746</v>
      </c>
      <c r="G300" s="2" t="s">
        <v>44</v>
      </c>
      <c r="H300" s="2" t="s">
        <v>114</v>
      </c>
      <c r="I300" s="1" t="s">
        <v>65</v>
      </c>
      <c r="J300" s="1" t="s">
        <v>56</v>
      </c>
      <c r="K300" s="1" t="s">
        <v>35</v>
      </c>
      <c r="L300" s="1" t="s">
        <v>24</v>
      </c>
      <c r="M300" s="2" t="s">
        <v>1747</v>
      </c>
    </row>
    <row r="301">
      <c r="A301" s="1" t="s">
        <v>1748</v>
      </c>
      <c r="B301" s="1" t="s">
        <v>1749</v>
      </c>
      <c r="C301" s="2" t="s">
        <v>168</v>
      </c>
      <c r="D301" s="2" t="s">
        <v>1750</v>
      </c>
      <c r="E301" s="1" t="s">
        <v>30</v>
      </c>
      <c r="F301" s="2" t="s">
        <v>1751</v>
      </c>
      <c r="G301" s="2" t="s">
        <v>44</v>
      </c>
      <c r="H301" s="2" t="s">
        <v>128</v>
      </c>
      <c r="I301" s="1" t="s">
        <v>65</v>
      </c>
      <c r="J301" s="1" t="s">
        <v>56</v>
      </c>
      <c r="K301" s="1" t="s">
        <v>23</v>
      </c>
      <c r="L301" s="1" t="s">
        <v>24</v>
      </c>
      <c r="M301" s="2" t="s">
        <v>1752</v>
      </c>
    </row>
    <row r="302">
      <c r="A302" s="1" t="s">
        <v>1753</v>
      </c>
      <c r="B302" s="1" t="s">
        <v>1754</v>
      </c>
      <c r="C302" s="2" t="s">
        <v>668</v>
      </c>
      <c r="D302" s="2" t="s">
        <v>1755</v>
      </c>
      <c r="E302" s="1" t="s">
        <v>17</v>
      </c>
      <c r="F302" s="2" t="s">
        <v>1756</v>
      </c>
      <c r="G302" s="2" t="s">
        <v>63</v>
      </c>
      <c r="H302" s="2" t="s">
        <v>483</v>
      </c>
      <c r="I302" s="1" t="s">
        <v>65</v>
      </c>
      <c r="J302" s="1" t="s">
        <v>56</v>
      </c>
      <c r="K302" s="1" t="s">
        <v>81</v>
      </c>
      <c r="L302" s="1" t="s">
        <v>46</v>
      </c>
      <c r="M302" s="2" t="s">
        <v>1757</v>
      </c>
    </row>
    <row r="303">
      <c r="A303" s="1" t="s">
        <v>1758</v>
      </c>
      <c r="B303" s="1" t="s">
        <v>1759</v>
      </c>
      <c r="C303" s="2" t="s">
        <v>1760</v>
      </c>
      <c r="D303" s="2" t="s">
        <v>1761</v>
      </c>
      <c r="E303" s="1" t="s">
        <v>17</v>
      </c>
      <c r="F303" s="2" t="s">
        <v>1762</v>
      </c>
      <c r="G303" s="2" t="s">
        <v>44</v>
      </c>
      <c r="H303" s="2" t="s">
        <v>128</v>
      </c>
      <c r="I303" s="1" t="s">
        <v>55</v>
      </c>
      <c r="J303" s="1" t="s">
        <v>73</v>
      </c>
      <c r="K303" s="1" t="s">
        <v>121</v>
      </c>
      <c r="L303" s="1" t="s">
        <v>36</v>
      </c>
      <c r="M303" s="2" t="s">
        <v>1763</v>
      </c>
    </row>
    <row r="304">
      <c r="A304" s="1" t="s">
        <v>1764</v>
      </c>
      <c r="B304" s="1" t="s">
        <v>1765</v>
      </c>
      <c r="C304" s="2" t="s">
        <v>1766</v>
      </c>
      <c r="D304" s="2" t="s">
        <v>1767</v>
      </c>
      <c r="E304" s="1" t="s">
        <v>30</v>
      </c>
      <c r="F304" s="2" t="s">
        <v>1768</v>
      </c>
      <c r="G304" s="2" t="s">
        <v>44</v>
      </c>
      <c r="H304" s="2" t="s">
        <v>141</v>
      </c>
      <c r="I304" s="1" t="s">
        <v>21</v>
      </c>
      <c r="J304" s="1" t="s">
        <v>73</v>
      </c>
      <c r="K304" s="1" t="s">
        <v>81</v>
      </c>
      <c r="L304" s="1" t="s">
        <v>36</v>
      </c>
      <c r="M304" s="2" t="s">
        <v>1769</v>
      </c>
    </row>
    <row r="305">
      <c r="A305" s="1" t="s">
        <v>1770</v>
      </c>
      <c r="B305" s="1" t="s">
        <v>1771</v>
      </c>
      <c r="C305" s="2" t="s">
        <v>349</v>
      </c>
      <c r="D305" s="2" t="s">
        <v>1772</v>
      </c>
      <c r="E305" s="1" t="s">
        <v>52</v>
      </c>
      <c r="F305" s="2" t="s">
        <v>1773</v>
      </c>
      <c r="G305" s="2" t="s">
        <v>63</v>
      </c>
      <c r="H305" s="2" t="s">
        <v>345</v>
      </c>
      <c r="I305" s="1" t="s">
        <v>34</v>
      </c>
      <c r="J305" s="1" t="s">
        <v>73</v>
      </c>
      <c r="K305" s="1" t="s">
        <v>121</v>
      </c>
      <c r="L305" s="1" t="s">
        <v>24</v>
      </c>
      <c r="M305" s="2" t="s">
        <v>1774</v>
      </c>
    </row>
    <row r="306">
      <c r="A306" s="1" t="s">
        <v>1775</v>
      </c>
      <c r="B306" s="1" t="s">
        <v>1776</v>
      </c>
      <c r="C306" s="2" t="s">
        <v>742</v>
      </c>
      <c r="D306" s="2" t="s">
        <v>1777</v>
      </c>
      <c r="E306" s="1" t="s">
        <v>17</v>
      </c>
      <c r="F306" s="2" t="s">
        <v>1778</v>
      </c>
      <c r="G306" s="2" t="s">
        <v>19</v>
      </c>
      <c r="H306" s="2" t="s">
        <v>345</v>
      </c>
      <c r="I306" s="1" t="s">
        <v>55</v>
      </c>
      <c r="J306" s="1" t="s">
        <v>56</v>
      </c>
      <c r="K306" s="1" t="s">
        <v>81</v>
      </c>
      <c r="L306" s="1" t="s">
        <v>46</v>
      </c>
      <c r="M306" s="2" t="s">
        <v>1779</v>
      </c>
    </row>
    <row r="307">
      <c r="A307" s="1" t="s">
        <v>1780</v>
      </c>
      <c r="B307" s="1" t="s">
        <v>1781</v>
      </c>
      <c r="C307" s="2" t="s">
        <v>399</v>
      </c>
      <c r="D307" s="2" t="s">
        <v>1782</v>
      </c>
      <c r="E307" s="1" t="s">
        <v>30</v>
      </c>
      <c r="F307" s="2" t="s">
        <v>1783</v>
      </c>
      <c r="G307" s="2" t="s">
        <v>44</v>
      </c>
      <c r="H307" s="2" t="s">
        <v>54</v>
      </c>
      <c r="I307" s="1" t="s">
        <v>55</v>
      </c>
      <c r="J307" s="1" t="s">
        <v>56</v>
      </c>
      <c r="K307" s="1" t="s">
        <v>81</v>
      </c>
      <c r="L307" s="1" t="s">
        <v>36</v>
      </c>
      <c r="M307" s="2" t="s">
        <v>1784</v>
      </c>
    </row>
    <row r="308">
      <c r="A308" s="1" t="s">
        <v>1785</v>
      </c>
      <c r="B308" s="1" t="s">
        <v>1786</v>
      </c>
      <c r="C308" s="2" t="s">
        <v>1787</v>
      </c>
      <c r="D308" s="2" t="s">
        <v>1788</v>
      </c>
      <c r="E308" s="1" t="s">
        <v>200</v>
      </c>
      <c r="F308" s="2" t="s">
        <v>1789</v>
      </c>
      <c r="G308" s="2" t="s">
        <v>32</v>
      </c>
      <c r="H308" s="2" t="s">
        <v>483</v>
      </c>
      <c r="I308" s="1" t="s">
        <v>21</v>
      </c>
      <c r="J308" s="1" t="s">
        <v>56</v>
      </c>
      <c r="K308" s="1" t="s">
        <v>35</v>
      </c>
      <c r="L308" s="1" t="s">
        <v>36</v>
      </c>
      <c r="M308" s="2" t="s">
        <v>1790</v>
      </c>
    </row>
    <row r="309">
      <c r="A309" s="1" t="s">
        <v>1791</v>
      </c>
      <c r="B309" s="1" t="s">
        <v>1792</v>
      </c>
      <c r="C309" s="2" t="s">
        <v>1033</v>
      </c>
      <c r="D309" s="2" t="s">
        <v>1793</v>
      </c>
      <c r="E309" s="1" t="s">
        <v>200</v>
      </c>
      <c r="F309" s="2" t="s">
        <v>1794</v>
      </c>
      <c r="G309" s="2" t="s">
        <v>44</v>
      </c>
      <c r="H309" s="2" t="s">
        <v>345</v>
      </c>
      <c r="I309" s="1" t="s">
        <v>21</v>
      </c>
      <c r="J309" s="1" t="s">
        <v>56</v>
      </c>
      <c r="K309" s="1" t="s">
        <v>121</v>
      </c>
      <c r="L309" s="1" t="s">
        <v>36</v>
      </c>
      <c r="M309" s="2" t="s">
        <v>1795</v>
      </c>
    </row>
    <row r="310">
      <c r="A310" s="1" t="s">
        <v>1796</v>
      </c>
      <c r="B310" s="1" t="s">
        <v>1797</v>
      </c>
      <c r="C310" s="2" t="s">
        <v>1798</v>
      </c>
      <c r="D310" s="2" t="s">
        <v>1799</v>
      </c>
      <c r="E310" s="1" t="s">
        <v>30</v>
      </c>
      <c r="F310" s="2" t="s">
        <v>1800</v>
      </c>
      <c r="G310" s="2" t="s">
        <v>44</v>
      </c>
      <c r="H310" s="2" t="s">
        <v>64</v>
      </c>
      <c r="I310" s="1" t="s">
        <v>34</v>
      </c>
      <c r="J310" s="1" t="s">
        <v>45</v>
      </c>
      <c r="K310" s="1" t="s">
        <v>88</v>
      </c>
      <c r="L310" s="1" t="s">
        <v>46</v>
      </c>
      <c r="M310" s="2" t="s">
        <v>1801</v>
      </c>
    </row>
    <row r="311">
      <c r="A311" s="1" t="s">
        <v>1802</v>
      </c>
      <c r="B311" s="1" t="s">
        <v>1803</v>
      </c>
      <c r="C311" s="2" t="s">
        <v>1804</v>
      </c>
      <c r="D311" s="2" t="s">
        <v>1805</v>
      </c>
      <c r="E311" s="1" t="s">
        <v>200</v>
      </c>
      <c r="F311" s="2" t="s">
        <v>1806</v>
      </c>
      <c r="G311" s="2" t="s">
        <v>63</v>
      </c>
      <c r="H311" s="2" t="s">
        <v>64</v>
      </c>
      <c r="I311" s="1" t="s">
        <v>65</v>
      </c>
      <c r="J311" s="1" t="s">
        <v>45</v>
      </c>
      <c r="K311" s="1" t="s">
        <v>23</v>
      </c>
      <c r="L311" s="1" t="s">
        <v>36</v>
      </c>
      <c r="M311" s="2" t="s">
        <v>1807</v>
      </c>
    </row>
    <row r="312">
      <c r="A312" s="1" t="s">
        <v>1808</v>
      </c>
      <c r="B312" s="1" t="s">
        <v>1809</v>
      </c>
      <c r="C312" s="2" t="s">
        <v>622</v>
      </c>
      <c r="D312" s="2" t="s">
        <v>1810</v>
      </c>
      <c r="E312" s="1" t="s">
        <v>200</v>
      </c>
      <c r="F312" s="2" t="s">
        <v>1811</v>
      </c>
      <c r="G312" s="2" t="s">
        <v>63</v>
      </c>
      <c r="H312" s="2" t="s">
        <v>33</v>
      </c>
      <c r="I312" s="1" t="s">
        <v>65</v>
      </c>
      <c r="J312" s="1" t="s">
        <v>73</v>
      </c>
      <c r="K312" s="1" t="s">
        <v>88</v>
      </c>
      <c r="L312" s="1" t="s">
        <v>36</v>
      </c>
      <c r="M312" s="2" t="s">
        <v>1812</v>
      </c>
    </row>
    <row r="313">
      <c r="A313" s="1" t="s">
        <v>1813</v>
      </c>
      <c r="B313" s="1" t="s">
        <v>1814</v>
      </c>
      <c r="C313" s="2" t="s">
        <v>1207</v>
      </c>
      <c r="D313" s="2" t="s">
        <v>1815</v>
      </c>
      <c r="E313" s="1" t="s">
        <v>52</v>
      </c>
      <c r="F313" s="2" t="s">
        <v>1816</v>
      </c>
      <c r="G313" s="2" t="s">
        <v>63</v>
      </c>
      <c r="H313" s="2" t="s">
        <v>483</v>
      </c>
      <c r="I313" s="1" t="s">
        <v>21</v>
      </c>
      <c r="J313" s="1" t="s">
        <v>56</v>
      </c>
      <c r="K313" s="1" t="s">
        <v>81</v>
      </c>
      <c r="L313" s="1" t="s">
        <v>24</v>
      </c>
      <c r="M313" s="2" t="s">
        <v>1817</v>
      </c>
    </row>
    <row r="314">
      <c r="A314" s="1" t="s">
        <v>1818</v>
      </c>
      <c r="B314" s="1" t="s">
        <v>1819</v>
      </c>
      <c r="C314" s="2" t="s">
        <v>1820</v>
      </c>
      <c r="D314" s="2" t="s">
        <v>1821</v>
      </c>
      <c r="E314" s="1" t="s">
        <v>42</v>
      </c>
      <c r="F314" s="2" t="s">
        <v>1822</v>
      </c>
      <c r="G314" s="2" t="s">
        <v>63</v>
      </c>
      <c r="H314" s="2" t="s">
        <v>33</v>
      </c>
      <c r="I314" s="1" t="s">
        <v>55</v>
      </c>
      <c r="J314" s="1" t="s">
        <v>45</v>
      </c>
      <c r="K314" s="1" t="s">
        <v>35</v>
      </c>
      <c r="L314" s="1" t="s">
        <v>24</v>
      </c>
      <c r="M314" s="2" t="s">
        <v>1823</v>
      </c>
    </row>
    <row r="315">
      <c r="A315" s="1" t="s">
        <v>1824</v>
      </c>
      <c r="B315" s="1" t="s">
        <v>1825</v>
      </c>
      <c r="C315" s="2" t="s">
        <v>1826</v>
      </c>
      <c r="D315" s="2" t="s">
        <v>1827</v>
      </c>
      <c r="E315" s="1" t="s">
        <v>42</v>
      </c>
      <c r="F315" s="2" t="s">
        <v>1828</v>
      </c>
      <c r="G315" s="2" t="s">
        <v>44</v>
      </c>
      <c r="H315" s="2" t="s">
        <v>518</v>
      </c>
      <c r="I315" s="1" t="s">
        <v>34</v>
      </c>
      <c r="J315" s="1" t="s">
        <v>56</v>
      </c>
      <c r="K315" s="1" t="s">
        <v>121</v>
      </c>
      <c r="L315" s="1" t="s">
        <v>46</v>
      </c>
      <c r="M315" s="2" t="s">
        <v>1829</v>
      </c>
    </row>
    <row r="316">
      <c r="A316" s="1" t="s">
        <v>1830</v>
      </c>
      <c r="B316" s="1" t="s">
        <v>1831</v>
      </c>
      <c r="C316" s="2" t="s">
        <v>77</v>
      </c>
      <c r="D316" s="2" t="s">
        <v>1832</v>
      </c>
      <c r="E316" s="1" t="s">
        <v>42</v>
      </c>
      <c r="F316" s="2" t="s">
        <v>1833</v>
      </c>
      <c r="G316" s="2" t="s">
        <v>32</v>
      </c>
      <c r="H316" s="2" t="s">
        <v>141</v>
      </c>
      <c r="I316" s="1" t="s">
        <v>34</v>
      </c>
      <c r="J316" s="1" t="s">
        <v>56</v>
      </c>
      <c r="K316" s="1" t="s">
        <v>35</v>
      </c>
      <c r="L316" s="1" t="s">
        <v>46</v>
      </c>
      <c r="M316" s="2" t="s">
        <v>1834</v>
      </c>
    </row>
    <row r="317">
      <c r="A317" s="1" t="s">
        <v>1835</v>
      </c>
      <c r="B317" s="1" t="s">
        <v>1836</v>
      </c>
      <c r="C317" s="2" t="s">
        <v>818</v>
      </c>
      <c r="D317" s="2" t="s">
        <v>1837</v>
      </c>
      <c r="E317" s="1" t="s">
        <v>42</v>
      </c>
      <c r="F317" s="2" t="s">
        <v>1838</v>
      </c>
      <c r="G317" s="2" t="s">
        <v>19</v>
      </c>
      <c r="H317" s="2" t="s">
        <v>20</v>
      </c>
      <c r="I317" s="1" t="s">
        <v>21</v>
      </c>
      <c r="J317" s="1" t="s">
        <v>22</v>
      </c>
      <c r="K317" s="1" t="s">
        <v>81</v>
      </c>
      <c r="L317" s="1" t="s">
        <v>46</v>
      </c>
      <c r="M317" s="2" t="s">
        <v>1839</v>
      </c>
    </row>
    <row r="318">
      <c r="A318" s="1" t="s">
        <v>1840</v>
      </c>
      <c r="B318" s="1" t="s">
        <v>1841</v>
      </c>
      <c r="C318" s="2" t="s">
        <v>1527</v>
      </c>
      <c r="D318" s="2" t="s">
        <v>1842</v>
      </c>
      <c r="E318" s="1" t="s">
        <v>30</v>
      </c>
      <c r="F318" s="2" t="s">
        <v>1843</v>
      </c>
      <c r="G318" s="2" t="s">
        <v>32</v>
      </c>
      <c r="H318" s="2" t="s">
        <v>33</v>
      </c>
      <c r="I318" s="1" t="s">
        <v>21</v>
      </c>
      <c r="J318" s="1" t="s">
        <v>73</v>
      </c>
      <c r="K318" s="1" t="s">
        <v>23</v>
      </c>
      <c r="L318" s="1" t="s">
        <v>46</v>
      </c>
      <c r="M318" s="2" t="s">
        <v>1844</v>
      </c>
    </row>
    <row r="319">
      <c r="A319" s="1" t="s">
        <v>1845</v>
      </c>
      <c r="B319" s="1" t="s">
        <v>1846</v>
      </c>
      <c r="C319" s="2" t="s">
        <v>1552</v>
      </c>
      <c r="D319" s="2" t="s">
        <v>1847</v>
      </c>
      <c r="E319" s="1" t="s">
        <v>42</v>
      </c>
      <c r="F319" s="2" t="s">
        <v>1848</v>
      </c>
      <c r="G319" s="2" t="s">
        <v>32</v>
      </c>
      <c r="H319" s="2" t="s">
        <v>33</v>
      </c>
      <c r="I319" s="1" t="s">
        <v>34</v>
      </c>
      <c r="J319" s="1" t="s">
        <v>73</v>
      </c>
      <c r="K319" s="1" t="s">
        <v>81</v>
      </c>
      <c r="L319" s="1" t="s">
        <v>36</v>
      </c>
      <c r="M319" s="2" t="s">
        <v>1849</v>
      </c>
    </row>
    <row r="320">
      <c r="A320" s="1" t="s">
        <v>1850</v>
      </c>
      <c r="B320" s="1" t="s">
        <v>1851</v>
      </c>
      <c r="C320" s="2" t="s">
        <v>1744</v>
      </c>
      <c r="D320" s="2" t="s">
        <v>1852</v>
      </c>
      <c r="E320" s="1" t="s">
        <v>52</v>
      </c>
      <c r="F320" s="2" t="s">
        <v>1853</v>
      </c>
      <c r="G320" s="2" t="s">
        <v>63</v>
      </c>
      <c r="H320" s="2" t="s">
        <v>141</v>
      </c>
      <c r="I320" s="1" t="s">
        <v>21</v>
      </c>
      <c r="J320" s="1" t="s">
        <v>22</v>
      </c>
      <c r="K320" s="1" t="s">
        <v>35</v>
      </c>
      <c r="L320" s="1" t="s">
        <v>36</v>
      </c>
      <c r="M320" s="2" t="s">
        <v>1854</v>
      </c>
    </row>
    <row r="321">
      <c r="A321" s="1" t="s">
        <v>1855</v>
      </c>
      <c r="B321" s="1" t="s">
        <v>1856</v>
      </c>
      <c r="C321" s="2" t="s">
        <v>1857</v>
      </c>
      <c r="D321" s="2" t="s">
        <v>1858</v>
      </c>
      <c r="E321" s="1" t="s">
        <v>17</v>
      </c>
      <c r="F321" s="2" t="s">
        <v>1859</v>
      </c>
      <c r="G321" s="2" t="s">
        <v>44</v>
      </c>
      <c r="H321" s="2" t="s">
        <v>326</v>
      </c>
      <c r="I321" s="1" t="s">
        <v>34</v>
      </c>
      <c r="J321" s="1" t="s">
        <v>22</v>
      </c>
      <c r="K321" s="1" t="s">
        <v>35</v>
      </c>
      <c r="L321" s="1" t="s">
        <v>24</v>
      </c>
      <c r="M321" s="2" t="s">
        <v>1860</v>
      </c>
    </row>
    <row r="322">
      <c r="A322" s="1" t="s">
        <v>1861</v>
      </c>
      <c r="B322" s="1" t="s">
        <v>1862</v>
      </c>
      <c r="C322" s="2" t="s">
        <v>125</v>
      </c>
      <c r="D322" s="2" t="s">
        <v>1863</v>
      </c>
      <c r="E322" s="1" t="s">
        <v>52</v>
      </c>
      <c r="F322" s="2" t="s">
        <v>1864</v>
      </c>
      <c r="G322" s="2" t="s">
        <v>44</v>
      </c>
      <c r="H322" s="2" t="s">
        <v>64</v>
      </c>
      <c r="I322" s="1" t="s">
        <v>65</v>
      </c>
      <c r="J322" s="1" t="s">
        <v>22</v>
      </c>
      <c r="K322" s="1" t="s">
        <v>35</v>
      </c>
      <c r="L322" s="1" t="s">
        <v>36</v>
      </c>
      <c r="M322" s="2" t="s">
        <v>1865</v>
      </c>
    </row>
    <row r="323">
      <c r="A323" s="1" t="s">
        <v>1866</v>
      </c>
      <c r="B323" s="1" t="s">
        <v>1867</v>
      </c>
      <c r="C323" s="2" t="s">
        <v>1868</v>
      </c>
      <c r="D323" s="2" t="s">
        <v>1869</v>
      </c>
      <c r="E323" s="1" t="s">
        <v>30</v>
      </c>
      <c r="F323" s="2" t="s">
        <v>1870</v>
      </c>
      <c r="G323" s="2" t="s">
        <v>44</v>
      </c>
      <c r="H323" s="2" t="s">
        <v>33</v>
      </c>
      <c r="I323" s="1" t="s">
        <v>21</v>
      </c>
      <c r="J323" s="1" t="s">
        <v>22</v>
      </c>
      <c r="K323" s="1" t="s">
        <v>23</v>
      </c>
      <c r="L323" s="1" t="s">
        <v>46</v>
      </c>
      <c r="M323" s="2" t="s">
        <v>1871</v>
      </c>
    </row>
    <row r="324">
      <c r="A324" s="1" t="s">
        <v>1872</v>
      </c>
      <c r="B324" s="1" t="s">
        <v>1873</v>
      </c>
      <c r="C324" s="2" t="s">
        <v>271</v>
      </c>
      <c r="D324" s="2" t="s">
        <v>1874</v>
      </c>
      <c r="E324" s="1" t="s">
        <v>42</v>
      </c>
      <c r="F324" s="2" t="s">
        <v>1875</v>
      </c>
      <c r="G324" s="2" t="s">
        <v>19</v>
      </c>
      <c r="H324" s="2" t="s">
        <v>20</v>
      </c>
      <c r="I324" s="1" t="s">
        <v>21</v>
      </c>
      <c r="J324" s="1" t="s">
        <v>56</v>
      </c>
      <c r="K324" s="1" t="s">
        <v>23</v>
      </c>
      <c r="L324" s="1" t="s">
        <v>46</v>
      </c>
      <c r="M324" s="2" t="s">
        <v>1876</v>
      </c>
    </row>
    <row r="325">
      <c r="A325" s="1" t="s">
        <v>1877</v>
      </c>
      <c r="B325" s="1" t="s">
        <v>1878</v>
      </c>
      <c r="C325" s="2" t="s">
        <v>205</v>
      </c>
      <c r="D325" s="2" t="s">
        <v>1879</v>
      </c>
      <c r="E325" s="1" t="s">
        <v>52</v>
      </c>
      <c r="F325" s="2" t="s">
        <v>1880</v>
      </c>
      <c r="G325" s="2" t="s">
        <v>32</v>
      </c>
      <c r="H325" s="2" t="s">
        <v>95</v>
      </c>
      <c r="I325" s="1" t="s">
        <v>34</v>
      </c>
      <c r="J325" s="1" t="s">
        <v>56</v>
      </c>
      <c r="K325" s="1" t="s">
        <v>81</v>
      </c>
      <c r="L325" s="1" t="s">
        <v>46</v>
      </c>
      <c r="M325" s="2" t="s">
        <v>1881</v>
      </c>
    </row>
    <row r="326">
      <c r="A326" s="1" t="s">
        <v>1882</v>
      </c>
      <c r="B326" s="1" t="s">
        <v>1883</v>
      </c>
      <c r="C326" s="2" t="s">
        <v>125</v>
      </c>
      <c r="D326" s="2" t="s">
        <v>1884</v>
      </c>
      <c r="E326" s="1" t="s">
        <v>200</v>
      </c>
      <c r="F326" s="2" t="s">
        <v>1885</v>
      </c>
      <c r="G326" s="2" t="s">
        <v>19</v>
      </c>
      <c r="H326" s="2" t="s">
        <v>114</v>
      </c>
      <c r="I326" s="1" t="s">
        <v>65</v>
      </c>
      <c r="J326" s="1" t="s">
        <v>22</v>
      </c>
      <c r="K326" s="1" t="s">
        <v>35</v>
      </c>
      <c r="L326" s="1" t="s">
        <v>36</v>
      </c>
      <c r="M326" s="2" t="s">
        <v>1886</v>
      </c>
    </row>
    <row r="327">
      <c r="A327" s="1" t="s">
        <v>1887</v>
      </c>
      <c r="B327" s="1" t="s">
        <v>1888</v>
      </c>
      <c r="C327" s="2" t="s">
        <v>1112</v>
      </c>
      <c r="D327" s="2" t="s">
        <v>1889</v>
      </c>
      <c r="E327" s="1" t="s">
        <v>17</v>
      </c>
      <c r="F327" s="2" t="s">
        <v>1890</v>
      </c>
      <c r="G327" s="2" t="s">
        <v>19</v>
      </c>
      <c r="H327" s="2" t="s">
        <v>345</v>
      </c>
      <c r="I327" s="1" t="s">
        <v>65</v>
      </c>
      <c r="J327" s="1" t="s">
        <v>45</v>
      </c>
      <c r="K327" s="1" t="s">
        <v>35</v>
      </c>
      <c r="L327" s="1" t="s">
        <v>24</v>
      </c>
      <c r="M327" s="2" t="s">
        <v>1891</v>
      </c>
    </row>
    <row r="328">
      <c r="A328" s="1" t="s">
        <v>1892</v>
      </c>
      <c r="B328" s="1" t="s">
        <v>1893</v>
      </c>
      <c r="C328" s="2" t="s">
        <v>145</v>
      </c>
      <c r="D328" s="2" t="s">
        <v>1894</v>
      </c>
      <c r="E328" s="1" t="s">
        <v>30</v>
      </c>
      <c r="F328" s="2" t="s">
        <v>1895</v>
      </c>
      <c r="G328" s="2" t="s">
        <v>32</v>
      </c>
      <c r="H328" s="2" t="s">
        <v>128</v>
      </c>
      <c r="I328" s="1" t="s">
        <v>55</v>
      </c>
      <c r="J328" s="1" t="s">
        <v>56</v>
      </c>
      <c r="K328" s="1" t="s">
        <v>23</v>
      </c>
      <c r="L328" s="1" t="s">
        <v>36</v>
      </c>
      <c r="M328" s="2" t="s">
        <v>1896</v>
      </c>
    </row>
    <row r="329">
      <c r="A329" s="1" t="s">
        <v>1897</v>
      </c>
      <c r="B329" s="1" t="s">
        <v>1898</v>
      </c>
      <c r="C329" s="2" t="s">
        <v>1899</v>
      </c>
      <c r="D329" s="2" t="s">
        <v>1900</v>
      </c>
      <c r="E329" s="1" t="s">
        <v>17</v>
      </c>
      <c r="F329" s="2" t="s">
        <v>1901</v>
      </c>
      <c r="G329" s="2" t="s">
        <v>19</v>
      </c>
      <c r="H329" s="2" t="s">
        <v>54</v>
      </c>
      <c r="I329" s="1" t="s">
        <v>21</v>
      </c>
      <c r="J329" s="1" t="s">
        <v>73</v>
      </c>
      <c r="K329" s="1" t="s">
        <v>23</v>
      </c>
      <c r="L329" s="1" t="s">
        <v>46</v>
      </c>
      <c r="M329" s="2" t="s">
        <v>1902</v>
      </c>
    </row>
    <row r="330">
      <c r="A330" s="1" t="s">
        <v>1903</v>
      </c>
      <c r="B330" s="1" t="s">
        <v>1904</v>
      </c>
      <c r="C330" s="2" t="s">
        <v>1905</v>
      </c>
      <c r="D330" s="2" t="s">
        <v>1906</v>
      </c>
      <c r="E330" s="1" t="s">
        <v>42</v>
      </c>
      <c r="F330" s="2" t="s">
        <v>1907</v>
      </c>
      <c r="G330" s="2" t="s">
        <v>63</v>
      </c>
      <c r="H330" s="2" t="s">
        <v>95</v>
      </c>
      <c r="I330" s="1" t="s">
        <v>65</v>
      </c>
      <c r="J330" s="1" t="s">
        <v>45</v>
      </c>
      <c r="K330" s="1" t="s">
        <v>23</v>
      </c>
      <c r="L330" s="1" t="s">
        <v>36</v>
      </c>
      <c r="M330" s="2" t="s">
        <v>1908</v>
      </c>
    </row>
    <row r="331">
      <c r="A331" s="1" t="s">
        <v>1909</v>
      </c>
      <c r="B331" s="1" t="s">
        <v>1910</v>
      </c>
      <c r="C331" s="2" t="s">
        <v>1911</v>
      </c>
      <c r="D331" s="2" t="s">
        <v>1912</v>
      </c>
      <c r="E331" s="1" t="s">
        <v>30</v>
      </c>
      <c r="F331" s="2" t="s">
        <v>1913</v>
      </c>
      <c r="G331" s="2" t="s">
        <v>32</v>
      </c>
      <c r="H331" s="2" t="s">
        <v>72</v>
      </c>
      <c r="I331" s="1" t="s">
        <v>55</v>
      </c>
      <c r="J331" s="1" t="s">
        <v>73</v>
      </c>
      <c r="K331" s="1" t="s">
        <v>81</v>
      </c>
      <c r="L331" s="1" t="s">
        <v>36</v>
      </c>
      <c r="M331" s="2" t="s">
        <v>1914</v>
      </c>
    </row>
    <row r="332">
      <c r="A332" s="1" t="s">
        <v>1915</v>
      </c>
      <c r="B332" s="1" t="s">
        <v>1916</v>
      </c>
      <c r="C332" s="2" t="s">
        <v>493</v>
      </c>
      <c r="D332" s="2" t="s">
        <v>1917</v>
      </c>
      <c r="E332" s="1" t="s">
        <v>200</v>
      </c>
      <c r="F332" s="2" t="s">
        <v>1918</v>
      </c>
      <c r="G332" s="2" t="s">
        <v>32</v>
      </c>
      <c r="H332" s="2" t="s">
        <v>54</v>
      </c>
      <c r="I332" s="1" t="s">
        <v>34</v>
      </c>
      <c r="J332" s="1" t="s">
        <v>73</v>
      </c>
      <c r="K332" s="1" t="s">
        <v>35</v>
      </c>
      <c r="L332" s="1" t="s">
        <v>36</v>
      </c>
      <c r="M332" s="2" t="s">
        <v>1919</v>
      </c>
    </row>
    <row r="333">
      <c r="A333" s="1" t="s">
        <v>1920</v>
      </c>
      <c r="B333" s="1" t="s">
        <v>1921</v>
      </c>
      <c r="C333" s="2" t="s">
        <v>1922</v>
      </c>
      <c r="D333" s="2" t="s">
        <v>1923</v>
      </c>
      <c r="E333" s="1" t="s">
        <v>52</v>
      </c>
      <c r="F333" s="2" t="s">
        <v>1924</v>
      </c>
      <c r="G333" s="2" t="s">
        <v>32</v>
      </c>
      <c r="H333" s="2" t="s">
        <v>95</v>
      </c>
      <c r="I333" s="1" t="s">
        <v>65</v>
      </c>
      <c r="J333" s="1" t="s">
        <v>22</v>
      </c>
      <c r="K333" s="1" t="s">
        <v>121</v>
      </c>
      <c r="L333" s="1" t="s">
        <v>36</v>
      </c>
      <c r="M333" s="2" t="s">
        <v>1925</v>
      </c>
    </row>
    <row r="334">
      <c r="A334" s="1" t="s">
        <v>1926</v>
      </c>
      <c r="B334" s="1" t="s">
        <v>1927</v>
      </c>
      <c r="C334" s="2" t="s">
        <v>1928</v>
      </c>
      <c r="D334" s="2" t="s">
        <v>1929</v>
      </c>
      <c r="E334" s="1" t="s">
        <v>52</v>
      </c>
      <c r="F334" s="2" t="s">
        <v>1930</v>
      </c>
      <c r="G334" s="2" t="s">
        <v>32</v>
      </c>
      <c r="H334" s="2" t="s">
        <v>483</v>
      </c>
      <c r="I334" s="1" t="s">
        <v>21</v>
      </c>
      <c r="J334" s="1" t="s">
        <v>45</v>
      </c>
      <c r="K334" s="1" t="s">
        <v>88</v>
      </c>
      <c r="L334" s="1" t="s">
        <v>36</v>
      </c>
      <c r="M334" s="2" t="s">
        <v>1931</v>
      </c>
    </row>
    <row r="335">
      <c r="A335" s="1" t="s">
        <v>1932</v>
      </c>
      <c r="B335" s="1" t="s">
        <v>1933</v>
      </c>
      <c r="C335" s="2" t="s">
        <v>282</v>
      </c>
      <c r="D335" s="2" t="s">
        <v>1934</v>
      </c>
      <c r="E335" s="1" t="s">
        <v>200</v>
      </c>
      <c r="F335" s="2" t="s">
        <v>1935</v>
      </c>
      <c r="G335" s="2" t="s">
        <v>44</v>
      </c>
      <c r="H335" s="2" t="s">
        <v>72</v>
      </c>
      <c r="I335" s="1" t="s">
        <v>34</v>
      </c>
      <c r="J335" s="1" t="s">
        <v>45</v>
      </c>
      <c r="K335" s="1" t="s">
        <v>23</v>
      </c>
      <c r="L335" s="1" t="s">
        <v>46</v>
      </c>
      <c r="M335" s="2" t="s">
        <v>1936</v>
      </c>
    </row>
    <row r="336">
      <c r="A336" s="1" t="s">
        <v>1937</v>
      </c>
      <c r="B336" s="1" t="s">
        <v>1938</v>
      </c>
      <c r="C336" s="2" t="s">
        <v>754</v>
      </c>
      <c r="D336" s="2" t="s">
        <v>1939</v>
      </c>
      <c r="E336" s="1" t="s">
        <v>17</v>
      </c>
      <c r="F336" s="2" t="s">
        <v>1940</v>
      </c>
      <c r="G336" s="2" t="s">
        <v>19</v>
      </c>
      <c r="H336" s="2" t="s">
        <v>141</v>
      </c>
      <c r="I336" s="1" t="s">
        <v>21</v>
      </c>
      <c r="J336" s="1" t="s">
        <v>45</v>
      </c>
      <c r="K336" s="1" t="s">
        <v>81</v>
      </c>
      <c r="L336" s="1" t="s">
        <v>46</v>
      </c>
      <c r="M336" s="2" t="s">
        <v>1941</v>
      </c>
    </row>
    <row r="337">
      <c r="A337" s="1" t="s">
        <v>1942</v>
      </c>
      <c r="B337" s="1" t="s">
        <v>1943</v>
      </c>
      <c r="C337" s="2" t="s">
        <v>1944</v>
      </c>
      <c r="D337" s="2" t="s">
        <v>1945</v>
      </c>
      <c r="E337" s="1" t="s">
        <v>52</v>
      </c>
      <c r="F337" s="2" t="s">
        <v>1946</v>
      </c>
      <c r="G337" s="2" t="s">
        <v>19</v>
      </c>
      <c r="H337" s="2" t="s">
        <v>518</v>
      </c>
      <c r="I337" s="1" t="s">
        <v>21</v>
      </c>
      <c r="J337" s="1" t="s">
        <v>56</v>
      </c>
      <c r="K337" s="1" t="s">
        <v>81</v>
      </c>
      <c r="L337" s="1" t="s">
        <v>46</v>
      </c>
      <c r="M337" s="2" t="s">
        <v>1947</v>
      </c>
    </row>
    <row r="338">
      <c r="A338" s="1" t="s">
        <v>1948</v>
      </c>
      <c r="B338" s="1" t="s">
        <v>1949</v>
      </c>
      <c r="C338" s="2" t="s">
        <v>1950</v>
      </c>
      <c r="D338" s="2" t="s">
        <v>1951</v>
      </c>
      <c r="E338" s="1" t="s">
        <v>200</v>
      </c>
      <c r="F338" s="2" t="s">
        <v>1952</v>
      </c>
      <c r="G338" s="2" t="s">
        <v>19</v>
      </c>
      <c r="H338" s="2" t="s">
        <v>95</v>
      </c>
      <c r="I338" s="1" t="s">
        <v>55</v>
      </c>
      <c r="J338" s="1" t="s">
        <v>45</v>
      </c>
      <c r="K338" s="1" t="s">
        <v>81</v>
      </c>
      <c r="L338" s="1" t="s">
        <v>46</v>
      </c>
      <c r="M338" s="2" t="s">
        <v>1953</v>
      </c>
    </row>
    <row r="339">
      <c r="A339" s="1" t="s">
        <v>1954</v>
      </c>
      <c r="B339" s="1" t="s">
        <v>1955</v>
      </c>
      <c r="C339" s="2" t="s">
        <v>499</v>
      </c>
      <c r="D339" s="2" t="s">
        <v>1956</v>
      </c>
      <c r="E339" s="1" t="s">
        <v>200</v>
      </c>
      <c r="F339" s="2" t="s">
        <v>1957</v>
      </c>
      <c r="G339" s="2" t="s">
        <v>32</v>
      </c>
      <c r="H339" s="2" t="s">
        <v>128</v>
      </c>
      <c r="I339" s="1" t="s">
        <v>21</v>
      </c>
      <c r="J339" s="1" t="s">
        <v>73</v>
      </c>
      <c r="K339" s="1" t="s">
        <v>35</v>
      </c>
      <c r="L339" s="1" t="s">
        <v>46</v>
      </c>
      <c r="M339" s="2" t="s">
        <v>1958</v>
      </c>
    </row>
    <row r="340">
      <c r="A340" s="1" t="s">
        <v>1959</v>
      </c>
      <c r="B340" s="1" t="s">
        <v>1960</v>
      </c>
      <c r="C340" s="2" t="s">
        <v>1961</v>
      </c>
      <c r="D340" s="2" t="s">
        <v>1962</v>
      </c>
      <c r="E340" s="1" t="s">
        <v>52</v>
      </c>
      <c r="F340" s="2" t="s">
        <v>1963</v>
      </c>
      <c r="G340" s="2" t="s">
        <v>19</v>
      </c>
      <c r="H340" s="2" t="s">
        <v>326</v>
      </c>
      <c r="I340" s="1" t="s">
        <v>21</v>
      </c>
      <c r="J340" s="1" t="s">
        <v>56</v>
      </c>
      <c r="K340" s="1" t="s">
        <v>23</v>
      </c>
      <c r="L340" s="1" t="s">
        <v>36</v>
      </c>
      <c r="M340" s="2" t="s">
        <v>1964</v>
      </c>
    </row>
    <row r="341">
      <c r="A341" s="1" t="s">
        <v>1965</v>
      </c>
      <c r="B341" s="1" t="s">
        <v>1966</v>
      </c>
      <c r="C341" s="2" t="s">
        <v>558</v>
      </c>
      <c r="D341" s="2" t="s">
        <v>1967</v>
      </c>
      <c r="E341" s="1" t="s">
        <v>42</v>
      </c>
      <c r="F341" s="2" t="s">
        <v>1968</v>
      </c>
      <c r="G341" s="2" t="s">
        <v>19</v>
      </c>
      <c r="H341" s="2" t="s">
        <v>54</v>
      </c>
      <c r="I341" s="1" t="s">
        <v>55</v>
      </c>
      <c r="J341" s="1" t="s">
        <v>45</v>
      </c>
      <c r="K341" s="1" t="s">
        <v>121</v>
      </c>
      <c r="L341" s="1" t="s">
        <v>46</v>
      </c>
      <c r="M341" s="2" t="s">
        <v>1969</v>
      </c>
    </row>
    <row r="342">
      <c r="A342" s="1" t="s">
        <v>1970</v>
      </c>
      <c r="B342" s="1" t="s">
        <v>1971</v>
      </c>
      <c r="C342" s="2" t="s">
        <v>1067</v>
      </c>
      <c r="D342" s="2" t="s">
        <v>1972</v>
      </c>
      <c r="E342" s="1" t="s">
        <v>200</v>
      </c>
      <c r="F342" s="2" t="s">
        <v>1973</v>
      </c>
      <c r="G342" s="2" t="s">
        <v>32</v>
      </c>
      <c r="H342" s="2" t="s">
        <v>33</v>
      </c>
      <c r="I342" s="1" t="s">
        <v>65</v>
      </c>
      <c r="J342" s="1" t="s">
        <v>45</v>
      </c>
      <c r="K342" s="1" t="s">
        <v>23</v>
      </c>
      <c r="L342" s="1" t="s">
        <v>24</v>
      </c>
      <c r="M342" s="2" t="s">
        <v>1974</v>
      </c>
    </row>
    <row r="343">
      <c r="A343" s="1" t="s">
        <v>1975</v>
      </c>
      <c r="B343" s="1" t="s">
        <v>1976</v>
      </c>
      <c r="C343" s="2" t="s">
        <v>1977</v>
      </c>
      <c r="D343" s="2" t="s">
        <v>1978</v>
      </c>
      <c r="E343" s="1" t="s">
        <v>17</v>
      </c>
      <c r="F343" s="2" t="s">
        <v>1979</v>
      </c>
      <c r="G343" s="2" t="s">
        <v>19</v>
      </c>
      <c r="H343" s="2" t="s">
        <v>141</v>
      </c>
      <c r="I343" s="1" t="s">
        <v>55</v>
      </c>
      <c r="J343" s="1" t="s">
        <v>56</v>
      </c>
      <c r="K343" s="1" t="s">
        <v>23</v>
      </c>
      <c r="L343" s="1" t="s">
        <v>24</v>
      </c>
      <c r="M343" s="2" t="s">
        <v>1980</v>
      </c>
    </row>
    <row r="344">
      <c r="A344" s="1" t="s">
        <v>1981</v>
      </c>
      <c r="B344" s="1" t="s">
        <v>1982</v>
      </c>
      <c r="C344" s="2" t="s">
        <v>1440</v>
      </c>
      <c r="D344" s="2" t="s">
        <v>1983</v>
      </c>
      <c r="E344" s="1" t="s">
        <v>17</v>
      </c>
      <c r="F344" s="2" t="s">
        <v>1984</v>
      </c>
      <c r="G344" s="2" t="s">
        <v>32</v>
      </c>
      <c r="H344" s="2" t="s">
        <v>72</v>
      </c>
      <c r="I344" s="1" t="s">
        <v>55</v>
      </c>
      <c r="J344" s="1" t="s">
        <v>45</v>
      </c>
      <c r="K344" s="1" t="s">
        <v>35</v>
      </c>
      <c r="L344" s="1" t="s">
        <v>46</v>
      </c>
      <c r="M344" s="2" t="s">
        <v>1985</v>
      </c>
    </row>
    <row r="345">
      <c r="A345" s="1" t="s">
        <v>1986</v>
      </c>
      <c r="B345" s="1" t="s">
        <v>1987</v>
      </c>
      <c r="C345" s="2" t="s">
        <v>1988</v>
      </c>
      <c r="D345" s="2" t="s">
        <v>1989</v>
      </c>
      <c r="E345" s="1" t="s">
        <v>200</v>
      </c>
      <c r="F345" s="2" t="s">
        <v>1990</v>
      </c>
      <c r="G345" s="2" t="s">
        <v>32</v>
      </c>
      <c r="H345" s="2" t="s">
        <v>80</v>
      </c>
      <c r="I345" s="1" t="s">
        <v>55</v>
      </c>
      <c r="J345" s="1" t="s">
        <v>45</v>
      </c>
      <c r="K345" s="1" t="s">
        <v>121</v>
      </c>
      <c r="L345" s="1" t="s">
        <v>46</v>
      </c>
      <c r="M345" s="2" t="s">
        <v>1991</v>
      </c>
    </row>
    <row r="346">
      <c r="A346" s="1" t="s">
        <v>1992</v>
      </c>
      <c r="B346" s="1" t="s">
        <v>1993</v>
      </c>
      <c r="C346" s="2" t="s">
        <v>1994</v>
      </c>
      <c r="D346" s="2" t="s">
        <v>1995</v>
      </c>
      <c r="E346" s="1" t="s">
        <v>42</v>
      </c>
      <c r="F346" s="2" t="s">
        <v>1996</v>
      </c>
      <c r="G346" s="2" t="s">
        <v>32</v>
      </c>
      <c r="H346" s="2" t="s">
        <v>80</v>
      </c>
      <c r="I346" s="1" t="s">
        <v>55</v>
      </c>
      <c r="J346" s="1" t="s">
        <v>22</v>
      </c>
      <c r="K346" s="1" t="s">
        <v>121</v>
      </c>
      <c r="L346" s="1" t="s">
        <v>24</v>
      </c>
      <c r="M346" s="2" t="s">
        <v>1997</v>
      </c>
    </row>
    <row r="347">
      <c r="A347" s="1" t="s">
        <v>1998</v>
      </c>
      <c r="B347" s="1" t="s">
        <v>1999</v>
      </c>
      <c r="C347" s="2" t="s">
        <v>628</v>
      </c>
      <c r="D347" s="2" t="s">
        <v>2000</v>
      </c>
      <c r="E347" s="1" t="s">
        <v>30</v>
      </c>
      <c r="F347" s="2" t="s">
        <v>2001</v>
      </c>
      <c r="G347" s="2" t="s">
        <v>32</v>
      </c>
      <c r="H347" s="2" t="s">
        <v>326</v>
      </c>
      <c r="I347" s="1" t="s">
        <v>55</v>
      </c>
      <c r="J347" s="1" t="s">
        <v>73</v>
      </c>
      <c r="K347" s="1" t="s">
        <v>23</v>
      </c>
      <c r="L347" s="1" t="s">
        <v>24</v>
      </c>
      <c r="M347" s="2" t="s">
        <v>2002</v>
      </c>
    </row>
    <row r="348">
      <c r="A348" s="1" t="s">
        <v>2003</v>
      </c>
      <c r="B348" s="1" t="s">
        <v>2004</v>
      </c>
      <c r="C348" s="2" t="s">
        <v>1527</v>
      </c>
      <c r="D348" s="2" t="s">
        <v>2005</v>
      </c>
      <c r="E348" s="1" t="s">
        <v>17</v>
      </c>
      <c r="F348" s="2" t="s">
        <v>1984</v>
      </c>
      <c r="G348" s="2" t="s">
        <v>63</v>
      </c>
      <c r="H348" s="2" t="s">
        <v>345</v>
      </c>
      <c r="I348" s="1" t="s">
        <v>34</v>
      </c>
      <c r="J348" s="1" t="s">
        <v>45</v>
      </c>
      <c r="K348" s="1" t="s">
        <v>88</v>
      </c>
      <c r="L348" s="1" t="s">
        <v>24</v>
      </c>
      <c r="M348" s="2" t="s">
        <v>2006</v>
      </c>
    </row>
    <row r="349">
      <c r="A349" s="1" t="s">
        <v>2007</v>
      </c>
      <c r="B349" s="1" t="s">
        <v>2008</v>
      </c>
      <c r="C349" s="2" t="s">
        <v>570</v>
      </c>
      <c r="D349" s="2" t="s">
        <v>2009</v>
      </c>
      <c r="E349" s="1" t="s">
        <v>42</v>
      </c>
      <c r="F349" s="2" t="s">
        <v>2010</v>
      </c>
      <c r="G349" s="2" t="s">
        <v>19</v>
      </c>
      <c r="H349" s="2" t="s">
        <v>128</v>
      </c>
      <c r="I349" s="1" t="s">
        <v>65</v>
      </c>
      <c r="J349" s="1" t="s">
        <v>22</v>
      </c>
      <c r="K349" s="1" t="s">
        <v>121</v>
      </c>
      <c r="L349" s="1" t="s">
        <v>46</v>
      </c>
      <c r="M349" s="2" t="s">
        <v>2011</v>
      </c>
    </row>
    <row r="350">
      <c r="A350" s="1" t="s">
        <v>2012</v>
      </c>
      <c r="B350" s="1" t="s">
        <v>2013</v>
      </c>
      <c r="C350" s="2" t="s">
        <v>1005</v>
      </c>
      <c r="D350" s="2" t="s">
        <v>2014</v>
      </c>
      <c r="E350" s="1" t="s">
        <v>17</v>
      </c>
      <c r="F350" s="2" t="s">
        <v>2015</v>
      </c>
      <c r="G350" s="2" t="s">
        <v>19</v>
      </c>
      <c r="H350" s="2" t="s">
        <v>214</v>
      </c>
      <c r="I350" s="1" t="s">
        <v>34</v>
      </c>
      <c r="J350" s="1" t="s">
        <v>45</v>
      </c>
      <c r="K350" s="1" t="s">
        <v>88</v>
      </c>
      <c r="L350" s="1" t="s">
        <v>46</v>
      </c>
      <c r="M350" s="2" t="s">
        <v>2016</v>
      </c>
    </row>
    <row r="351">
      <c r="A351" s="1" t="s">
        <v>2017</v>
      </c>
      <c r="B351" s="1" t="s">
        <v>2018</v>
      </c>
      <c r="C351" s="2" t="s">
        <v>2019</v>
      </c>
      <c r="D351" s="2" t="s">
        <v>2020</v>
      </c>
      <c r="E351" s="1" t="s">
        <v>52</v>
      </c>
      <c r="F351" s="2" t="s">
        <v>2021</v>
      </c>
      <c r="G351" s="2" t="s">
        <v>63</v>
      </c>
      <c r="H351" s="2" t="s">
        <v>72</v>
      </c>
      <c r="I351" s="1" t="s">
        <v>34</v>
      </c>
      <c r="J351" s="1" t="s">
        <v>45</v>
      </c>
      <c r="K351" s="1" t="s">
        <v>23</v>
      </c>
      <c r="L351" s="1" t="s">
        <v>24</v>
      </c>
      <c r="M351" s="2" t="s">
        <v>2022</v>
      </c>
    </row>
    <row r="352">
      <c r="A352" s="1" t="s">
        <v>2023</v>
      </c>
      <c r="B352" s="1" t="s">
        <v>2024</v>
      </c>
      <c r="C352" s="2" t="s">
        <v>1723</v>
      </c>
      <c r="D352" s="2" t="s">
        <v>2025</v>
      </c>
      <c r="E352" s="1" t="s">
        <v>42</v>
      </c>
      <c r="F352" s="2" t="s">
        <v>2026</v>
      </c>
      <c r="G352" s="2" t="s">
        <v>19</v>
      </c>
      <c r="H352" s="2" t="s">
        <v>141</v>
      </c>
      <c r="I352" s="1" t="s">
        <v>65</v>
      </c>
      <c r="J352" s="1" t="s">
        <v>73</v>
      </c>
      <c r="K352" s="1" t="s">
        <v>35</v>
      </c>
      <c r="L352" s="1" t="s">
        <v>36</v>
      </c>
      <c r="M352" s="2" t="s">
        <v>2027</v>
      </c>
    </row>
    <row r="353">
      <c r="A353" s="1" t="s">
        <v>2028</v>
      </c>
      <c r="B353" s="1" t="s">
        <v>2029</v>
      </c>
      <c r="C353" s="2" t="s">
        <v>2030</v>
      </c>
      <c r="D353" s="2" t="s">
        <v>2031</v>
      </c>
      <c r="E353" s="1" t="s">
        <v>42</v>
      </c>
      <c r="F353" s="2" t="s">
        <v>2032</v>
      </c>
      <c r="G353" s="2" t="s">
        <v>44</v>
      </c>
      <c r="H353" s="2" t="s">
        <v>345</v>
      </c>
      <c r="I353" s="1" t="s">
        <v>55</v>
      </c>
      <c r="J353" s="1" t="s">
        <v>73</v>
      </c>
      <c r="K353" s="1" t="s">
        <v>121</v>
      </c>
      <c r="L353" s="1" t="s">
        <v>46</v>
      </c>
      <c r="M353" s="2" t="s">
        <v>2033</v>
      </c>
    </row>
    <row r="354">
      <c r="A354" s="1" t="s">
        <v>2034</v>
      </c>
      <c r="B354" s="1" t="s">
        <v>2035</v>
      </c>
      <c r="C354" s="2" t="s">
        <v>2036</v>
      </c>
      <c r="D354" s="2" t="s">
        <v>2037</v>
      </c>
      <c r="E354" s="1" t="s">
        <v>30</v>
      </c>
      <c r="F354" s="2" t="s">
        <v>2038</v>
      </c>
      <c r="G354" s="2" t="s">
        <v>63</v>
      </c>
      <c r="H354" s="2" t="s">
        <v>80</v>
      </c>
      <c r="I354" s="1" t="s">
        <v>65</v>
      </c>
      <c r="J354" s="1" t="s">
        <v>45</v>
      </c>
      <c r="K354" s="1" t="s">
        <v>81</v>
      </c>
      <c r="L354" s="1" t="s">
        <v>24</v>
      </c>
      <c r="M354" s="2" t="s">
        <v>2039</v>
      </c>
    </row>
    <row r="355">
      <c r="A355" s="1" t="s">
        <v>2040</v>
      </c>
      <c r="B355" s="1" t="s">
        <v>2041</v>
      </c>
      <c r="C355" s="2" t="s">
        <v>2042</v>
      </c>
      <c r="D355" s="2" t="s">
        <v>2043</v>
      </c>
      <c r="E355" s="1" t="s">
        <v>52</v>
      </c>
      <c r="F355" s="2" t="s">
        <v>2044</v>
      </c>
      <c r="G355" s="2" t="s">
        <v>44</v>
      </c>
      <c r="H355" s="2" t="s">
        <v>518</v>
      </c>
      <c r="I355" s="1" t="s">
        <v>55</v>
      </c>
      <c r="J355" s="1" t="s">
        <v>45</v>
      </c>
      <c r="K355" s="1" t="s">
        <v>35</v>
      </c>
      <c r="L355" s="1" t="s">
        <v>24</v>
      </c>
      <c r="M355" s="2" t="s">
        <v>2045</v>
      </c>
    </row>
    <row r="356">
      <c r="A356" s="1" t="s">
        <v>2046</v>
      </c>
      <c r="B356" s="1" t="s">
        <v>2047</v>
      </c>
      <c r="C356" s="2" t="s">
        <v>2048</v>
      </c>
      <c r="D356" s="2" t="s">
        <v>2049</v>
      </c>
      <c r="E356" s="1" t="s">
        <v>30</v>
      </c>
      <c r="F356" s="2" t="s">
        <v>2050</v>
      </c>
      <c r="G356" s="2" t="s">
        <v>63</v>
      </c>
      <c r="H356" s="2" t="s">
        <v>483</v>
      </c>
      <c r="I356" s="1" t="s">
        <v>65</v>
      </c>
      <c r="J356" s="1" t="s">
        <v>45</v>
      </c>
      <c r="K356" s="1" t="s">
        <v>88</v>
      </c>
      <c r="L356" s="1" t="s">
        <v>36</v>
      </c>
      <c r="M356" s="2" t="s">
        <v>2051</v>
      </c>
    </row>
    <row r="357">
      <c r="A357" s="1" t="s">
        <v>2052</v>
      </c>
      <c r="B357" s="1" t="s">
        <v>2053</v>
      </c>
      <c r="C357" s="2" t="s">
        <v>818</v>
      </c>
      <c r="D357" s="2" t="s">
        <v>2054</v>
      </c>
      <c r="E357" s="1" t="s">
        <v>52</v>
      </c>
      <c r="F357" s="2" t="s">
        <v>2055</v>
      </c>
      <c r="G357" s="2" t="s">
        <v>63</v>
      </c>
      <c r="H357" s="2" t="s">
        <v>64</v>
      </c>
      <c r="I357" s="1" t="s">
        <v>55</v>
      </c>
      <c r="J357" s="1" t="s">
        <v>73</v>
      </c>
      <c r="K357" s="1" t="s">
        <v>35</v>
      </c>
      <c r="L357" s="1" t="s">
        <v>24</v>
      </c>
      <c r="M357" s="2" t="s">
        <v>2056</v>
      </c>
    </row>
    <row r="358">
      <c r="A358" s="1" t="s">
        <v>2057</v>
      </c>
      <c r="B358" s="1" t="s">
        <v>2058</v>
      </c>
      <c r="C358" s="2" t="s">
        <v>558</v>
      </c>
      <c r="D358" s="2" t="s">
        <v>2059</v>
      </c>
      <c r="E358" s="1" t="s">
        <v>52</v>
      </c>
      <c r="F358" s="2" t="s">
        <v>2060</v>
      </c>
      <c r="G358" s="2" t="s">
        <v>63</v>
      </c>
      <c r="H358" s="2" t="s">
        <v>128</v>
      </c>
      <c r="I358" s="1" t="s">
        <v>55</v>
      </c>
      <c r="J358" s="1" t="s">
        <v>56</v>
      </c>
      <c r="K358" s="1" t="s">
        <v>23</v>
      </c>
      <c r="L358" s="1" t="s">
        <v>46</v>
      </c>
      <c r="M358" s="2" t="s">
        <v>2061</v>
      </c>
    </row>
    <row r="359">
      <c r="A359" s="1" t="s">
        <v>2062</v>
      </c>
      <c r="B359" s="1" t="s">
        <v>2063</v>
      </c>
      <c r="C359" s="2" t="s">
        <v>2064</v>
      </c>
      <c r="D359" s="2" t="s">
        <v>2065</v>
      </c>
      <c r="E359" s="1" t="s">
        <v>17</v>
      </c>
      <c r="F359" s="2" t="s">
        <v>2066</v>
      </c>
      <c r="G359" s="2" t="s">
        <v>19</v>
      </c>
      <c r="H359" s="2" t="s">
        <v>80</v>
      </c>
      <c r="I359" s="1" t="s">
        <v>21</v>
      </c>
      <c r="J359" s="1" t="s">
        <v>73</v>
      </c>
      <c r="K359" s="1" t="s">
        <v>35</v>
      </c>
      <c r="L359" s="1" t="s">
        <v>24</v>
      </c>
      <c r="M359" s="2" t="s">
        <v>2067</v>
      </c>
    </row>
    <row r="360">
      <c r="A360" s="1" t="s">
        <v>2068</v>
      </c>
      <c r="B360" s="1" t="s">
        <v>2069</v>
      </c>
      <c r="C360" s="2" t="s">
        <v>1144</v>
      </c>
      <c r="D360" s="2" t="s">
        <v>2070</v>
      </c>
      <c r="E360" s="1" t="s">
        <v>17</v>
      </c>
      <c r="F360" s="2" t="s">
        <v>2071</v>
      </c>
      <c r="G360" s="2" t="s">
        <v>19</v>
      </c>
      <c r="H360" s="2" t="s">
        <v>114</v>
      </c>
      <c r="I360" s="1" t="s">
        <v>65</v>
      </c>
      <c r="J360" s="1" t="s">
        <v>56</v>
      </c>
      <c r="K360" s="1" t="s">
        <v>81</v>
      </c>
      <c r="L360" s="1" t="s">
        <v>46</v>
      </c>
      <c r="M360" s="2" t="s">
        <v>2072</v>
      </c>
    </row>
    <row r="361">
      <c r="A361" s="1" t="s">
        <v>2073</v>
      </c>
      <c r="B361" s="1" t="s">
        <v>2074</v>
      </c>
      <c r="C361" s="2" t="s">
        <v>355</v>
      </c>
      <c r="D361" s="2" t="s">
        <v>2075</v>
      </c>
      <c r="E361" s="1" t="s">
        <v>17</v>
      </c>
      <c r="F361" s="2" t="s">
        <v>2076</v>
      </c>
      <c r="G361" s="2" t="s">
        <v>44</v>
      </c>
      <c r="H361" s="2" t="s">
        <v>64</v>
      </c>
      <c r="I361" s="1" t="s">
        <v>21</v>
      </c>
      <c r="J361" s="1" t="s">
        <v>56</v>
      </c>
      <c r="K361" s="1" t="s">
        <v>81</v>
      </c>
      <c r="L361" s="1" t="s">
        <v>36</v>
      </c>
      <c r="M361" s="2" t="s">
        <v>2077</v>
      </c>
    </row>
    <row r="362">
      <c r="A362" s="1" t="s">
        <v>2078</v>
      </c>
      <c r="B362" s="1" t="s">
        <v>2079</v>
      </c>
      <c r="C362" s="2" t="s">
        <v>2080</v>
      </c>
      <c r="D362" s="2" t="s">
        <v>2081</v>
      </c>
      <c r="E362" s="1" t="s">
        <v>200</v>
      </c>
      <c r="F362" s="2" t="s">
        <v>2082</v>
      </c>
      <c r="G362" s="2" t="s">
        <v>44</v>
      </c>
      <c r="H362" s="2" t="s">
        <v>95</v>
      </c>
      <c r="I362" s="1" t="s">
        <v>65</v>
      </c>
      <c r="J362" s="1" t="s">
        <v>73</v>
      </c>
      <c r="K362" s="1" t="s">
        <v>23</v>
      </c>
      <c r="L362" s="1" t="s">
        <v>36</v>
      </c>
      <c r="M362" s="2" t="s">
        <v>2083</v>
      </c>
    </row>
    <row r="363">
      <c r="A363" s="1" t="s">
        <v>2084</v>
      </c>
      <c r="B363" s="1" t="s">
        <v>2085</v>
      </c>
      <c r="C363" s="2" t="s">
        <v>2086</v>
      </c>
      <c r="D363" s="2" t="s">
        <v>2087</v>
      </c>
      <c r="E363" s="1" t="s">
        <v>200</v>
      </c>
      <c r="F363" s="2" t="s">
        <v>2088</v>
      </c>
      <c r="G363" s="2" t="s">
        <v>63</v>
      </c>
      <c r="H363" s="2" t="s">
        <v>72</v>
      </c>
      <c r="I363" s="1" t="s">
        <v>65</v>
      </c>
      <c r="J363" s="1" t="s">
        <v>22</v>
      </c>
      <c r="K363" s="1" t="s">
        <v>121</v>
      </c>
      <c r="L363" s="1" t="s">
        <v>46</v>
      </c>
      <c r="M363" s="2" t="s">
        <v>2089</v>
      </c>
    </row>
    <row r="364">
      <c r="A364" s="1" t="s">
        <v>2090</v>
      </c>
      <c r="B364" s="1" t="s">
        <v>2091</v>
      </c>
      <c r="C364" s="2" t="s">
        <v>145</v>
      </c>
      <c r="D364" s="2" t="s">
        <v>2092</v>
      </c>
      <c r="E364" s="1" t="s">
        <v>52</v>
      </c>
      <c r="F364" s="2" t="s">
        <v>2093</v>
      </c>
      <c r="G364" s="2" t="s">
        <v>63</v>
      </c>
      <c r="H364" s="2" t="s">
        <v>194</v>
      </c>
      <c r="I364" s="1" t="s">
        <v>34</v>
      </c>
      <c r="J364" s="1" t="s">
        <v>56</v>
      </c>
      <c r="K364" s="1" t="s">
        <v>23</v>
      </c>
      <c r="L364" s="1" t="s">
        <v>46</v>
      </c>
      <c r="M364" s="2" t="s">
        <v>2094</v>
      </c>
    </row>
    <row r="365">
      <c r="A365" s="1" t="s">
        <v>2095</v>
      </c>
      <c r="B365" s="1" t="s">
        <v>2096</v>
      </c>
      <c r="C365" s="2" t="s">
        <v>2097</v>
      </c>
      <c r="D365" s="2" t="s">
        <v>2098</v>
      </c>
      <c r="E365" s="1" t="s">
        <v>30</v>
      </c>
      <c r="F365" s="2" t="s">
        <v>2099</v>
      </c>
      <c r="G365" s="2" t="s">
        <v>44</v>
      </c>
      <c r="H365" s="2" t="s">
        <v>518</v>
      </c>
      <c r="I365" s="1" t="s">
        <v>55</v>
      </c>
      <c r="J365" s="1" t="s">
        <v>22</v>
      </c>
      <c r="K365" s="1" t="s">
        <v>23</v>
      </c>
      <c r="L365" s="1" t="s">
        <v>24</v>
      </c>
      <c r="M365" s="2" t="s">
        <v>2100</v>
      </c>
    </row>
    <row r="366">
      <c r="A366" s="1" t="s">
        <v>2101</v>
      </c>
      <c r="B366" s="1" t="s">
        <v>2102</v>
      </c>
      <c r="C366" s="2" t="s">
        <v>1144</v>
      </c>
      <c r="D366" s="2" t="s">
        <v>2103</v>
      </c>
      <c r="E366" s="1" t="s">
        <v>17</v>
      </c>
      <c r="F366" s="2" t="s">
        <v>2104</v>
      </c>
      <c r="G366" s="2" t="s">
        <v>44</v>
      </c>
      <c r="H366" s="2" t="s">
        <v>128</v>
      </c>
      <c r="I366" s="1" t="s">
        <v>65</v>
      </c>
      <c r="J366" s="1" t="s">
        <v>22</v>
      </c>
      <c r="K366" s="1" t="s">
        <v>81</v>
      </c>
      <c r="L366" s="1" t="s">
        <v>46</v>
      </c>
      <c r="M366" s="2" t="s">
        <v>2105</v>
      </c>
    </row>
    <row r="367">
      <c r="A367" s="1" t="s">
        <v>2106</v>
      </c>
      <c r="B367" s="1" t="s">
        <v>2107</v>
      </c>
      <c r="C367" s="2" t="s">
        <v>2108</v>
      </c>
      <c r="D367" s="2" t="s">
        <v>2109</v>
      </c>
      <c r="E367" s="1" t="s">
        <v>42</v>
      </c>
      <c r="F367" s="2" t="s">
        <v>2110</v>
      </c>
      <c r="G367" s="2" t="s">
        <v>63</v>
      </c>
      <c r="H367" s="2" t="s">
        <v>95</v>
      </c>
      <c r="I367" s="1" t="s">
        <v>21</v>
      </c>
      <c r="J367" s="1" t="s">
        <v>73</v>
      </c>
      <c r="K367" s="1" t="s">
        <v>81</v>
      </c>
      <c r="L367" s="1" t="s">
        <v>36</v>
      </c>
      <c r="M367" s="2" t="s">
        <v>2111</v>
      </c>
    </row>
    <row r="368">
      <c r="A368" s="1" t="s">
        <v>2112</v>
      </c>
      <c r="B368" s="1" t="s">
        <v>2113</v>
      </c>
      <c r="C368" s="2" t="s">
        <v>1100</v>
      </c>
      <c r="D368" s="2" t="s">
        <v>2114</v>
      </c>
      <c r="E368" s="1" t="s">
        <v>30</v>
      </c>
      <c r="F368" s="2" t="s">
        <v>2115</v>
      </c>
      <c r="G368" s="2" t="s">
        <v>63</v>
      </c>
      <c r="H368" s="2" t="s">
        <v>345</v>
      </c>
      <c r="I368" s="1" t="s">
        <v>65</v>
      </c>
      <c r="J368" s="1" t="s">
        <v>22</v>
      </c>
      <c r="K368" s="1" t="s">
        <v>35</v>
      </c>
      <c r="L368" s="1" t="s">
        <v>24</v>
      </c>
      <c r="M368" s="2" t="s">
        <v>2116</v>
      </c>
    </row>
    <row r="369">
      <c r="A369" s="1" t="s">
        <v>2117</v>
      </c>
      <c r="B369" s="1" t="s">
        <v>2118</v>
      </c>
      <c r="C369" s="2" t="s">
        <v>372</v>
      </c>
      <c r="D369" s="2" t="s">
        <v>2119</v>
      </c>
      <c r="E369" s="1" t="s">
        <v>17</v>
      </c>
      <c r="F369" s="2" t="s">
        <v>2120</v>
      </c>
      <c r="G369" s="2" t="s">
        <v>63</v>
      </c>
      <c r="H369" s="2" t="s">
        <v>345</v>
      </c>
      <c r="I369" s="1" t="s">
        <v>55</v>
      </c>
      <c r="J369" s="1" t="s">
        <v>22</v>
      </c>
      <c r="K369" s="1" t="s">
        <v>88</v>
      </c>
      <c r="L369" s="1" t="s">
        <v>46</v>
      </c>
      <c r="M369" s="2" t="s">
        <v>2121</v>
      </c>
    </row>
    <row r="370">
      <c r="A370" s="1" t="s">
        <v>2122</v>
      </c>
      <c r="B370" s="1" t="s">
        <v>2123</v>
      </c>
      <c r="C370" s="2" t="s">
        <v>645</v>
      </c>
      <c r="D370" s="2" t="s">
        <v>2124</v>
      </c>
      <c r="E370" s="1" t="s">
        <v>200</v>
      </c>
      <c r="F370" s="2" t="s">
        <v>2125</v>
      </c>
      <c r="G370" s="2" t="s">
        <v>63</v>
      </c>
      <c r="H370" s="2" t="s">
        <v>72</v>
      </c>
      <c r="I370" s="1" t="s">
        <v>34</v>
      </c>
      <c r="J370" s="1" t="s">
        <v>22</v>
      </c>
      <c r="K370" s="1" t="s">
        <v>81</v>
      </c>
      <c r="L370" s="1" t="s">
        <v>36</v>
      </c>
      <c r="M370" s="2" t="s">
        <v>2126</v>
      </c>
    </row>
    <row r="371">
      <c r="A371" s="1" t="s">
        <v>2127</v>
      </c>
      <c r="B371" s="1" t="s">
        <v>2128</v>
      </c>
      <c r="C371" s="2" t="s">
        <v>622</v>
      </c>
      <c r="D371" s="2" t="s">
        <v>2129</v>
      </c>
      <c r="E371" s="1" t="s">
        <v>200</v>
      </c>
      <c r="F371" s="2" t="s">
        <v>2130</v>
      </c>
      <c r="G371" s="2" t="s">
        <v>44</v>
      </c>
      <c r="H371" s="2" t="s">
        <v>518</v>
      </c>
      <c r="I371" s="1" t="s">
        <v>34</v>
      </c>
      <c r="J371" s="1" t="s">
        <v>45</v>
      </c>
      <c r="K371" s="1" t="s">
        <v>35</v>
      </c>
      <c r="L371" s="1" t="s">
        <v>24</v>
      </c>
      <c r="M371" s="2" t="s">
        <v>2131</v>
      </c>
    </row>
    <row r="372">
      <c r="A372" s="1" t="s">
        <v>2132</v>
      </c>
      <c r="B372" s="1" t="s">
        <v>2133</v>
      </c>
      <c r="C372" s="2" t="s">
        <v>2134</v>
      </c>
      <c r="D372" s="2" t="s">
        <v>2135</v>
      </c>
      <c r="E372" s="1" t="s">
        <v>17</v>
      </c>
      <c r="F372" s="2" t="s">
        <v>2136</v>
      </c>
      <c r="G372" s="2" t="s">
        <v>32</v>
      </c>
      <c r="H372" s="2" t="s">
        <v>114</v>
      </c>
      <c r="I372" s="1" t="s">
        <v>21</v>
      </c>
      <c r="J372" s="1" t="s">
        <v>73</v>
      </c>
      <c r="K372" s="1" t="s">
        <v>23</v>
      </c>
      <c r="L372" s="1" t="s">
        <v>24</v>
      </c>
      <c r="M372" s="2" t="s">
        <v>2137</v>
      </c>
    </row>
    <row r="373">
      <c r="A373" s="1" t="s">
        <v>2138</v>
      </c>
      <c r="B373" s="1" t="s">
        <v>2139</v>
      </c>
      <c r="C373" s="2" t="s">
        <v>2140</v>
      </c>
      <c r="D373" s="2" t="s">
        <v>2141</v>
      </c>
      <c r="E373" s="1" t="s">
        <v>200</v>
      </c>
      <c r="F373" s="2" t="s">
        <v>2142</v>
      </c>
      <c r="G373" s="2" t="s">
        <v>44</v>
      </c>
      <c r="H373" s="2" t="s">
        <v>128</v>
      </c>
      <c r="I373" s="1" t="s">
        <v>65</v>
      </c>
      <c r="J373" s="1" t="s">
        <v>22</v>
      </c>
      <c r="K373" s="1" t="s">
        <v>88</v>
      </c>
      <c r="L373" s="1" t="s">
        <v>36</v>
      </c>
      <c r="M373" s="2" t="s">
        <v>2143</v>
      </c>
    </row>
    <row r="374">
      <c r="A374" s="1" t="s">
        <v>2144</v>
      </c>
      <c r="B374" s="1" t="s">
        <v>2145</v>
      </c>
      <c r="C374" s="2" t="s">
        <v>2146</v>
      </c>
      <c r="D374" s="2" t="s">
        <v>2147</v>
      </c>
      <c r="E374" s="1" t="s">
        <v>52</v>
      </c>
      <c r="F374" s="2" t="s">
        <v>2148</v>
      </c>
      <c r="G374" s="2" t="s">
        <v>44</v>
      </c>
      <c r="H374" s="2" t="s">
        <v>518</v>
      </c>
      <c r="I374" s="1" t="s">
        <v>55</v>
      </c>
      <c r="J374" s="1" t="s">
        <v>56</v>
      </c>
      <c r="K374" s="1" t="s">
        <v>88</v>
      </c>
      <c r="L374" s="1" t="s">
        <v>24</v>
      </c>
      <c r="M374" s="2" t="s">
        <v>2149</v>
      </c>
    </row>
    <row r="375">
      <c r="A375" s="1" t="s">
        <v>2150</v>
      </c>
      <c r="B375" s="1" t="s">
        <v>2151</v>
      </c>
      <c r="C375" s="2" t="s">
        <v>2152</v>
      </c>
      <c r="D375" s="2" t="s">
        <v>2153</v>
      </c>
      <c r="E375" s="1" t="s">
        <v>200</v>
      </c>
      <c r="F375" s="2" t="s">
        <v>2154</v>
      </c>
      <c r="G375" s="2" t="s">
        <v>32</v>
      </c>
      <c r="H375" s="2" t="s">
        <v>33</v>
      </c>
      <c r="I375" s="1" t="s">
        <v>34</v>
      </c>
      <c r="J375" s="1" t="s">
        <v>22</v>
      </c>
      <c r="K375" s="1" t="s">
        <v>81</v>
      </c>
      <c r="L375" s="1" t="s">
        <v>36</v>
      </c>
      <c r="M375" s="2" t="s">
        <v>2155</v>
      </c>
    </row>
    <row r="376">
      <c r="A376" s="1" t="s">
        <v>2156</v>
      </c>
      <c r="B376" s="1" t="s">
        <v>2157</v>
      </c>
      <c r="C376" s="2" t="s">
        <v>336</v>
      </c>
      <c r="D376" s="2" t="s">
        <v>2158</v>
      </c>
      <c r="E376" s="1" t="s">
        <v>200</v>
      </c>
      <c r="F376" s="2" t="s">
        <v>2159</v>
      </c>
      <c r="G376" s="2" t="s">
        <v>32</v>
      </c>
      <c r="H376" s="2" t="s">
        <v>114</v>
      </c>
      <c r="I376" s="1" t="s">
        <v>34</v>
      </c>
      <c r="J376" s="1" t="s">
        <v>22</v>
      </c>
      <c r="K376" s="1" t="s">
        <v>121</v>
      </c>
      <c r="L376" s="1" t="s">
        <v>24</v>
      </c>
      <c r="M376" s="2" t="s">
        <v>2160</v>
      </c>
    </row>
    <row r="377">
      <c r="A377" s="1" t="s">
        <v>2161</v>
      </c>
      <c r="B377" s="1" t="s">
        <v>2162</v>
      </c>
      <c r="C377" s="2" t="s">
        <v>766</v>
      </c>
      <c r="D377" s="2" t="s">
        <v>2163</v>
      </c>
      <c r="E377" s="1" t="s">
        <v>17</v>
      </c>
      <c r="F377" s="2" t="s">
        <v>2164</v>
      </c>
      <c r="G377" s="2" t="s">
        <v>19</v>
      </c>
      <c r="H377" s="2" t="s">
        <v>483</v>
      </c>
      <c r="I377" s="1" t="s">
        <v>65</v>
      </c>
      <c r="J377" s="1" t="s">
        <v>22</v>
      </c>
      <c r="K377" s="1" t="s">
        <v>35</v>
      </c>
      <c r="L377" s="1" t="s">
        <v>24</v>
      </c>
      <c r="M377" s="2" t="s">
        <v>2165</v>
      </c>
    </row>
    <row r="378">
      <c r="A378" s="1" t="s">
        <v>2166</v>
      </c>
      <c r="B378" s="1" t="s">
        <v>2167</v>
      </c>
      <c r="C378" s="2" t="s">
        <v>1798</v>
      </c>
      <c r="D378" s="2" t="s">
        <v>2168</v>
      </c>
      <c r="E378" s="1" t="s">
        <v>52</v>
      </c>
      <c r="F378" s="2" t="s">
        <v>2169</v>
      </c>
      <c r="G378" s="2" t="s">
        <v>19</v>
      </c>
      <c r="H378" s="2" t="s">
        <v>128</v>
      </c>
      <c r="I378" s="1" t="s">
        <v>65</v>
      </c>
      <c r="J378" s="1" t="s">
        <v>56</v>
      </c>
      <c r="K378" s="1" t="s">
        <v>121</v>
      </c>
      <c r="L378" s="1" t="s">
        <v>36</v>
      </c>
      <c r="M378" s="2" t="s">
        <v>2170</v>
      </c>
    </row>
    <row r="379">
      <c r="A379" s="1" t="s">
        <v>2171</v>
      </c>
      <c r="B379" s="1" t="s">
        <v>2172</v>
      </c>
      <c r="C379" s="2" t="s">
        <v>668</v>
      </c>
      <c r="D379" s="2" t="s">
        <v>2173</v>
      </c>
      <c r="E379" s="1" t="s">
        <v>200</v>
      </c>
      <c r="F379" s="2" t="s">
        <v>2174</v>
      </c>
      <c r="G379" s="2" t="s">
        <v>44</v>
      </c>
      <c r="H379" s="2" t="s">
        <v>95</v>
      </c>
      <c r="I379" s="1" t="s">
        <v>65</v>
      </c>
      <c r="J379" s="1" t="s">
        <v>22</v>
      </c>
      <c r="K379" s="1" t="s">
        <v>121</v>
      </c>
      <c r="L379" s="1" t="s">
        <v>24</v>
      </c>
      <c r="M379" s="2" t="s">
        <v>2175</v>
      </c>
    </row>
    <row r="380">
      <c r="A380" s="1" t="s">
        <v>2176</v>
      </c>
      <c r="B380" s="1" t="s">
        <v>2177</v>
      </c>
      <c r="C380" s="2" t="s">
        <v>1195</v>
      </c>
      <c r="D380" s="2" t="s">
        <v>2178</v>
      </c>
      <c r="E380" s="1" t="s">
        <v>200</v>
      </c>
      <c r="F380" s="2" t="s">
        <v>2179</v>
      </c>
      <c r="G380" s="2" t="s">
        <v>44</v>
      </c>
      <c r="H380" s="2" t="s">
        <v>141</v>
      </c>
      <c r="I380" s="1" t="s">
        <v>55</v>
      </c>
      <c r="J380" s="1" t="s">
        <v>22</v>
      </c>
      <c r="K380" s="1" t="s">
        <v>88</v>
      </c>
      <c r="L380" s="1" t="s">
        <v>46</v>
      </c>
      <c r="M380" s="2" t="s">
        <v>2180</v>
      </c>
    </row>
    <row r="381">
      <c r="A381" s="1" t="s">
        <v>2181</v>
      </c>
      <c r="B381" s="1" t="s">
        <v>2182</v>
      </c>
      <c r="C381" s="2" t="s">
        <v>926</v>
      </c>
      <c r="D381" s="2" t="s">
        <v>2183</v>
      </c>
      <c r="E381" s="1" t="s">
        <v>30</v>
      </c>
      <c r="F381" s="2" t="s">
        <v>1314</v>
      </c>
      <c r="G381" s="2" t="s">
        <v>32</v>
      </c>
      <c r="H381" s="2" t="s">
        <v>128</v>
      </c>
      <c r="I381" s="1" t="s">
        <v>34</v>
      </c>
      <c r="J381" s="1" t="s">
        <v>45</v>
      </c>
      <c r="K381" s="1" t="s">
        <v>121</v>
      </c>
      <c r="L381" s="1" t="s">
        <v>24</v>
      </c>
      <c r="M381" s="2" t="s">
        <v>2184</v>
      </c>
    </row>
    <row r="382">
      <c r="A382" s="1" t="s">
        <v>2185</v>
      </c>
      <c r="B382" s="1" t="s">
        <v>2186</v>
      </c>
      <c r="C382" s="2" t="s">
        <v>1100</v>
      </c>
      <c r="D382" s="2" t="s">
        <v>2187</v>
      </c>
      <c r="E382" s="1" t="s">
        <v>17</v>
      </c>
      <c r="F382" s="2" t="s">
        <v>2188</v>
      </c>
      <c r="G382" s="2" t="s">
        <v>32</v>
      </c>
      <c r="H382" s="2" t="s">
        <v>72</v>
      </c>
      <c r="I382" s="1" t="s">
        <v>34</v>
      </c>
      <c r="J382" s="1" t="s">
        <v>22</v>
      </c>
      <c r="K382" s="1" t="s">
        <v>88</v>
      </c>
      <c r="L382" s="1" t="s">
        <v>46</v>
      </c>
      <c r="M382" s="2" t="s">
        <v>2189</v>
      </c>
    </row>
    <row r="383">
      <c r="A383" s="1" t="s">
        <v>2190</v>
      </c>
      <c r="B383" s="1" t="s">
        <v>2191</v>
      </c>
      <c r="C383" s="2" t="s">
        <v>378</v>
      </c>
      <c r="D383" s="2" t="s">
        <v>2192</v>
      </c>
      <c r="E383" s="1" t="s">
        <v>42</v>
      </c>
      <c r="F383" s="2" t="s">
        <v>2193</v>
      </c>
      <c r="G383" s="2" t="s">
        <v>19</v>
      </c>
      <c r="H383" s="2" t="s">
        <v>54</v>
      </c>
      <c r="I383" s="1" t="s">
        <v>55</v>
      </c>
      <c r="J383" s="1" t="s">
        <v>45</v>
      </c>
      <c r="K383" s="1" t="s">
        <v>121</v>
      </c>
      <c r="L383" s="1" t="s">
        <v>36</v>
      </c>
      <c r="M383" s="2" t="s">
        <v>2194</v>
      </c>
    </row>
    <row r="384">
      <c r="A384" s="1" t="s">
        <v>2195</v>
      </c>
      <c r="B384" s="1" t="s">
        <v>2196</v>
      </c>
      <c r="C384" s="2" t="s">
        <v>2197</v>
      </c>
      <c r="D384" s="2" t="s">
        <v>2198</v>
      </c>
      <c r="E384" s="1" t="s">
        <v>17</v>
      </c>
      <c r="F384" s="2" t="s">
        <v>2199</v>
      </c>
      <c r="G384" s="2" t="s">
        <v>19</v>
      </c>
      <c r="H384" s="2" t="s">
        <v>345</v>
      </c>
      <c r="I384" s="1" t="s">
        <v>65</v>
      </c>
      <c r="J384" s="1" t="s">
        <v>45</v>
      </c>
      <c r="K384" s="1" t="s">
        <v>81</v>
      </c>
      <c r="L384" s="1" t="s">
        <v>24</v>
      </c>
      <c r="M384" s="2" t="s">
        <v>2200</v>
      </c>
    </row>
    <row r="385">
      <c r="A385" s="1" t="s">
        <v>2201</v>
      </c>
      <c r="B385" s="1" t="s">
        <v>2202</v>
      </c>
      <c r="C385" s="2" t="s">
        <v>1527</v>
      </c>
      <c r="D385" s="2" t="s">
        <v>2203</v>
      </c>
      <c r="E385" s="1" t="s">
        <v>42</v>
      </c>
      <c r="F385" s="2" t="s">
        <v>2204</v>
      </c>
      <c r="G385" s="2" t="s">
        <v>32</v>
      </c>
      <c r="H385" s="2" t="s">
        <v>518</v>
      </c>
      <c r="I385" s="1" t="s">
        <v>21</v>
      </c>
      <c r="J385" s="1" t="s">
        <v>73</v>
      </c>
      <c r="K385" s="1" t="s">
        <v>81</v>
      </c>
      <c r="L385" s="1" t="s">
        <v>36</v>
      </c>
      <c r="M385" s="2" t="s">
        <v>2205</v>
      </c>
    </row>
    <row r="386">
      <c r="A386" s="1" t="s">
        <v>2206</v>
      </c>
      <c r="B386" s="1" t="s">
        <v>2207</v>
      </c>
      <c r="C386" s="2" t="s">
        <v>1112</v>
      </c>
      <c r="D386" s="2" t="s">
        <v>2208</v>
      </c>
      <c r="E386" s="1" t="s">
        <v>42</v>
      </c>
      <c r="F386" s="2" t="s">
        <v>2209</v>
      </c>
      <c r="G386" s="2" t="s">
        <v>44</v>
      </c>
      <c r="H386" s="2" t="s">
        <v>114</v>
      </c>
      <c r="I386" s="1" t="s">
        <v>34</v>
      </c>
      <c r="J386" s="1" t="s">
        <v>45</v>
      </c>
      <c r="K386" s="1" t="s">
        <v>121</v>
      </c>
      <c r="L386" s="1" t="s">
        <v>46</v>
      </c>
      <c r="M386" s="2" t="s">
        <v>2210</v>
      </c>
    </row>
    <row r="387">
      <c r="A387" s="1" t="s">
        <v>2211</v>
      </c>
      <c r="B387" s="1" t="s">
        <v>2212</v>
      </c>
      <c r="C387" s="2" t="s">
        <v>2213</v>
      </c>
      <c r="D387" s="2" t="s">
        <v>2214</v>
      </c>
      <c r="E387" s="1" t="s">
        <v>30</v>
      </c>
      <c r="F387" s="2" t="s">
        <v>2215</v>
      </c>
      <c r="G387" s="2" t="s">
        <v>63</v>
      </c>
      <c r="H387" s="2" t="s">
        <v>483</v>
      </c>
      <c r="I387" s="1" t="s">
        <v>65</v>
      </c>
      <c r="J387" s="1" t="s">
        <v>73</v>
      </c>
      <c r="K387" s="1" t="s">
        <v>23</v>
      </c>
      <c r="L387" s="1" t="s">
        <v>46</v>
      </c>
      <c r="M387" s="2" t="s">
        <v>2216</v>
      </c>
    </row>
    <row r="388">
      <c r="A388" s="1" t="s">
        <v>2217</v>
      </c>
      <c r="B388" s="1" t="s">
        <v>2218</v>
      </c>
      <c r="C388" s="2" t="s">
        <v>1961</v>
      </c>
      <c r="D388" s="2" t="s">
        <v>2219</v>
      </c>
      <c r="E388" s="1" t="s">
        <v>17</v>
      </c>
      <c r="F388" s="2" t="s">
        <v>2220</v>
      </c>
      <c r="G388" s="2" t="s">
        <v>32</v>
      </c>
      <c r="H388" s="2" t="s">
        <v>214</v>
      </c>
      <c r="I388" s="1" t="s">
        <v>34</v>
      </c>
      <c r="J388" s="1" t="s">
        <v>56</v>
      </c>
      <c r="K388" s="1" t="s">
        <v>88</v>
      </c>
      <c r="L388" s="1" t="s">
        <v>24</v>
      </c>
      <c r="M388" s="2" t="s">
        <v>2221</v>
      </c>
    </row>
    <row r="389">
      <c r="A389" s="1" t="s">
        <v>2222</v>
      </c>
      <c r="B389" s="1" t="s">
        <v>2223</v>
      </c>
      <c r="C389" s="2" t="s">
        <v>236</v>
      </c>
      <c r="D389" s="2" t="s">
        <v>2224</v>
      </c>
      <c r="E389" s="1" t="s">
        <v>30</v>
      </c>
      <c r="F389" s="2" t="s">
        <v>2225</v>
      </c>
      <c r="G389" s="2" t="s">
        <v>63</v>
      </c>
      <c r="H389" s="2" t="s">
        <v>345</v>
      </c>
      <c r="I389" s="1" t="s">
        <v>55</v>
      </c>
      <c r="J389" s="1" t="s">
        <v>56</v>
      </c>
      <c r="K389" s="1" t="s">
        <v>81</v>
      </c>
      <c r="L389" s="1" t="s">
        <v>36</v>
      </c>
      <c r="M389" s="2" t="s">
        <v>2226</v>
      </c>
    </row>
    <row r="390">
      <c r="A390" s="1" t="s">
        <v>2227</v>
      </c>
      <c r="B390" s="1" t="s">
        <v>2228</v>
      </c>
      <c r="C390" s="2" t="s">
        <v>2229</v>
      </c>
      <c r="D390" s="2" t="s">
        <v>2230</v>
      </c>
      <c r="E390" s="1" t="s">
        <v>17</v>
      </c>
      <c r="F390" s="2" t="s">
        <v>2231</v>
      </c>
      <c r="G390" s="2" t="s">
        <v>63</v>
      </c>
      <c r="H390" s="2" t="s">
        <v>214</v>
      </c>
      <c r="I390" s="1" t="s">
        <v>65</v>
      </c>
      <c r="J390" s="1" t="s">
        <v>56</v>
      </c>
      <c r="K390" s="1" t="s">
        <v>35</v>
      </c>
      <c r="L390" s="1" t="s">
        <v>46</v>
      </c>
      <c r="M390" s="2" t="s">
        <v>2232</v>
      </c>
    </row>
    <row r="391">
      <c r="A391" s="1" t="s">
        <v>2233</v>
      </c>
      <c r="B391" s="1" t="s">
        <v>2234</v>
      </c>
      <c r="C391" s="2" t="s">
        <v>558</v>
      </c>
      <c r="D391" s="2" t="s">
        <v>2235</v>
      </c>
      <c r="E391" s="1" t="s">
        <v>30</v>
      </c>
      <c r="F391" s="2" t="s">
        <v>2236</v>
      </c>
      <c r="G391" s="2" t="s">
        <v>44</v>
      </c>
      <c r="H391" s="2" t="s">
        <v>114</v>
      </c>
      <c r="I391" s="1" t="s">
        <v>55</v>
      </c>
      <c r="J391" s="1" t="s">
        <v>56</v>
      </c>
      <c r="K391" s="1" t="s">
        <v>35</v>
      </c>
      <c r="L391" s="1" t="s">
        <v>24</v>
      </c>
      <c r="M391" s="2" t="s">
        <v>2237</v>
      </c>
    </row>
    <row r="392">
      <c r="A392" s="1" t="s">
        <v>2238</v>
      </c>
      <c r="B392" s="1" t="s">
        <v>2239</v>
      </c>
      <c r="C392" s="2" t="s">
        <v>505</v>
      </c>
      <c r="D392" s="2" t="s">
        <v>2240</v>
      </c>
      <c r="E392" s="1" t="s">
        <v>17</v>
      </c>
      <c r="F392" s="2" t="s">
        <v>2241</v>
      </c>
      <c r="G392" s="2" t="s">
        <v>44</v>
      </c>
      <c r="H392" s="2" t="s">
        <v>483</v>
      </c>
      <c r="I392" s="1" t="s">
        <v>34</v>
      </c>
      <c r="J392" s="1" t="s">
        <v>56</v>
      </c>
      <c r="K392" s="1" t="s">
        <v>88</v>
      </c>
      <c r="L392" s="1" t="s">
        <v>36</v>
      </c>
      <c r="M392" s="2" t="s">
        <v>2242</v>
      </c>
    </row>
    <row r="393">
      <c r="A393" s="1" t="s">
        <v>2243</v>
      </c>
      <c r="B393" s="1" t="s">
        <v>2244</v>
      </c>
      <c r="C393" s="2" t="s">
        <v>742</v>
      </c>
      <c r="D393" s="2" t="s">
        <v>2245</v>
      </c>
      <c r="E393" s="1" t="s">
        <v>52</v>
      </c>
      <c r="F393" s="2" t="s">
        <v>2246</v>
      </c>
      <c r="G393" s="2" t="s">
        <v>63</v>
      </c>
      <c r="H393" s="2" t="s">
        <v>194</v>
      </c>
      <c r="I393" s="1" t="s">
        <v>65</v>
      </c>
      <c r="J393" s="1" t="s">
        <v>22</v>
      </c>
      <c r="K393" s="1" t="s">
        <v>23</v>
      </c>
      <c r="L393" s="1" t="s">
        <v>46</v>
      </c>
      <c r="M393" s="2" t="s">
        <v>2247</v>
      </c>
    </row>
    <row r="394">
      <c r="A394" s="1" t="s">
        <v>2248</v>
      </c>
      <c r="B394" s="1" t="s">
        <v>2249</v>
      </c>
      <c r="C394" s="2" t="s">
        <v>2250</v>
      </c>
      <c r="D394" s="2" t="s">
        <v>2251</v>
      </c>
      <c r="E394" s="1" t="s">
        <v>42</v>
      </c>
      <c r="F394" s="2" t="s">
        <v>2252</v>
      </c>
      <c r="G394" s="2" t="s">
        <v>19</v>
      </c>
      <c r="H394" s="2" t="s">
        <v>95</v>
      </c>
      <c r="I394" s="1" t="s">
        <v>34</v>
      </c>
      <c r="J394" s="1" t="s">
        <v>56</v>
      </c>
      <c r="K394" s="1" t="s">
        <v>88</v>
      </c>
      <c r="L394" s="1" t="s">
        <v>24</v>
      </c>
      <c r="M394" s="2" t="s">
        <v>2253</v>
      </c>
    </row>
    <row r="395">
      <c r="A395" s="1" t="s">
        <v>2254</v>
      </c>
      <c r="B395" s="1" t="s">
        <v>2255</v>
      </c>
      <c r="C395" s="2" t="s">
        <v>2256</v>
      </c>
      <c r="D395" s="2" t="s">
        <v>2257</v>
      </c>
      <c r="E395" s="1" t="s">
        <v>42</v>
      </c>
      <c r="F395" s="2" t="s">
        <v>2258</v>
      </c>
      <c r="G395" s="2" t="s">
        <v>44</v>
      </c>
      <c r="H395" s="2" t="s">
        <v>141</v>
      </c>
      <c r="I395" s="1" t="s">
        <v>21</v>
      </c>
      <c r="J395" s="1" t="s">
        <v>73</v>
      </c>
      <c r="K395" s="1" t="s">
        <v>121</v>
      </c>
      <c r="L395" s="1" t="s">
        <v>24</v>
      </c>
      <c r="M395" s="2" t="s">
        <v>2259</v>
      </c>
    </row>
    <row r="396">
      <c r="A396" s="1" t="s">
        <v>2260</v>
      </c>
      <c r="B396" s="1" t="s">
        <v>2261</v>
      </c>
      <c r="C396" s="2" t="s">
        <v>999</v>
      </c>
      <c r="D396" s="2" t="s">
        <v>2262</v>
      </c>
      <c r="E396" s="1" t="s">
        <v>17</v>
      </c>
      <c r="F396" s="2" t="s">
        <v>2263</v>
      </c>
      <c r="G396" s="2" t="s">
        <v>19</v>
      </c>
      <c r="H396" s="2" t="s">
        <v>54</v>
      </c>
      <c r="I396" s="1" t="s">
        <v>21</v>
      </c>
      <c r="J396" s="1" t="s">
        <v>45</v>
      </c>
      <c r="K396" s="1" t="s">
        <v>88</v>
      </c>
      <c r="L396" s="1" t="s">
        <v>24</v>
      </c>
      <c r="M396" s="2" t="s">
        <v>2264</v>
      </c>
    </row>
    <row r="397">
      <c r="A397" s="1" t="s">
        <v>2265</v>
      </c>
      <c r="B397" s="1" t="s">
        <v>2266</v>
      </c>
      <c r="C397" s="2" t="s">
        <v>330</v>
      </c>
      <c r="D397" s="2" t="s">
        <v>2267</v>
      </c>
      <c r="E397" s="1" t="s">
        <v>42</v>
      </c>
      <c r="F397" s="2" t="s">
        <v>2268</v>
      </c>
      <c r="G397" s="2" t="s">
        <v>32</v>
      </c>
      <c r="H397" s="2" t="s">
        <v>80</v>
      </c>
      <c r="I397" s="1" t="s">
        <v>21</v>
      </c>
      <c r="J397" s="1" t="s">
        <v>45</v>
      </c>
      <c r="K397" s="1" t="s">
        <v>23</v>
      </c>
      <c r="L397" s="1" t="s">
        <v>24</v>
      </c>
      <c r="M397" s="2" t="s">
        <v>2269</v>
      </c>
    </row>
    <row r="398">
      <c r="A398" s="1" t="s">
        <v>2270</v>
      </c>
      <c r="B398" s="1" t="s">
        <v>2271</v>
      </c>
      <c r="C398" s="2" t="s">
        <v>886</v>
      </c>
      <c r="D398" s="2" t="s">
        <v>2272</v>
      </c>
      <c r="E398" s="1" t="s">
        <v>30</v>
      </c>
      <c r="F398" s="2" t="s">
        <v>2273</v>
      </c>
      <c r="G398" s="2" t="s">
        <v>32</v>
      </c>
      <c r="H398" s="2" t="s">
        <v>114</v>
      </c>
      <c r="I398" s="1" t="s">
        <v>21</v>
      </c>
      <c r="J398" s="1" t="s">
        <v>56</v>
      </c>
      <c r="K398" s="1" t="s">
        <v>88</v>
      </c>
      <c r="L398" s="1" t="s">
        <v>36</v>
      </c>
      <c r="M398" s="2" t="s">
        <v>2274</v>
      </c>
    </row>
    <row r="399">
      <c r="A399" s="1" t="s">
        <v>2275</v>
      </c>
      <c r="B399" s="1" t="s">
        <v>2276</v>
      </c>
      <c r="C399" s="2" t="s">
        <v>2019</v>
      </c>
      <c r="D399" s="2" t="s">
        <v>2277</v>
      </c>
      <c r="E399" s="1" t="s">
        <v>52</v>
      </c>
      <c r="F399" s="2" t="s">
        <v>2278</v>
      </c>
      <c r="G399" s="2" t="s">
        <v>63</v>
      </c>
      <c r="H399" s="2" t="s">
        <v>326</v>
      </c>
      <c r="I399" s="1" t="s">
        <v>34</v>
      </c>
      <c r="J399" s="1" t="s">
        <v>73</v>
      </c>
      <c r="K399" s="1" t="s">
        <v>81</v>
      </c>
      <c r="L399" s="1" t="s">
        <v>36</v>
      </c>
      <c r="M399" s="2" t="s">
        <v>2279</v>
      </c>
    </row>
    <row r="400">
      <c r="A400" s="1" t="s">
        <v>2280</v>
      </c>
      <c r="B400" s="1" t="s">
        <v>2281</v>
      </c>
      <c r="C400" s="2" t="s">
        <v>2282</v>
      </c>
      <c r="D400" s="2" t="s">
        <v>2283</v>
      </c>
      <c r="E400" s="1" t="s">
        <v>42</v>
      </c>
      <c r="F400" s="2" t="s">
        <v>2284</v>
      </c>
      <c r="G400" s="2" t="s">
        <v>63</v>
      </c>
      <c r="H400" s="2" t="s">
        <v>64</v>
      </c>
      <c r="I400" s="1" t="s">
        <v>34</v>
      </c>
      <c r="J400" s="1" t="s">
        <v>45</v>
      </c>
      <c r="K400" s="1" t="s">
        <v>23</v>
      </c>
      <c r="L400" s="1" t="s">
        <v>46</v>
      </c>
      <c r="M400" s="2" t="s">
        <v>2285</v>
      </c>
    </row>
    <row r="401">
      <c r="A401" s="1" t="s">
        <v>2286</v>
      </c>
      <c r="B401" s="1" t="s">
        <v>2287</v>
      </c>
      <c r="C401" s="2" t="s">
        <v>588</v>
      </c>
      <c r="D401" s="2" t="s">
        <v>2288</v>
      </c>
      <c r="E401" s="1" t="s">
        <v>17</v>
      </c>
      <c r="F401" s="2" t="s">
        <v>2289</v>
      </c>
      <c r="G401" s="2" t="s">
        <v>32</v>
      </c>
      <c r="H401" s="2" t="s">
        <v>54</v>
      </c>
      <c r="I401" s="1" t="s">
        <v>55</v>
      </c>
      <c r="J401" s="1" t="s">
        <v>22</v>
      </c>
      <c r="K401" s="1" t="s">
        <v>23</v>
      </c>
      <c r="L401" s="1" t="s">
        <v>24</v>
      </c>
      <c r="M401" s="2" t="s">
        <v>2290</v>
      </c>
    </row>
    <row r="402">
      <c r="A402" s="1" t="s">
        <v>2291</v>
      </c>
      <c r="B402" s="1" t="s">
        <v>2292</v>
      </c>
      <c r="C402" s="2" t="s">
        <v>2108</v>
      </c>
      <c r="D402" s="2" t="s">
        <v>2293</v>
      </c>
      <c r="E402" s="1" t="s">
        <v>30</v>
      </c>
      <c r="F402" s="2" t="s">
        <v>1586</v>
      </c>
      <c r="G402" s="2" t="s">
        <v>32</v>
      </c>
      <c r="H402" s="2" t="s">
        <v>54</v>
      </c>
      <c r="I402" s="1" t="s">
        <v>34</v>
      </c>
      <c r="J402" s="1" t="s">
        <v>45</v>
      </c>
      <c r="K402" s="1" t="s">
        <v>88</v>
      </c>
      <c r="L402" s="1" t="s">
        <v>24</v>
      </c>
      <c r="M402" s="2" t="s">
        <v>2294</v>
      </c>
    </row>
    <row r="403">
      <c r="A403" s="1" t="s">
        <v>2295</v>
      </c>
      <c r="B403" s="1" t="s">
        <v>2296</v>
      </c>
      <c r="C403" s="2" t="s">
        <v>2297</v>
      </c>
      <c r="D403" s="2" t="s">
        <v>2298</v>
      </c>
      <c r="E403" s="1" t="s">
        <v>30</v>
      </c>
      <c r="F403" s="2" t="s">
        <v>2299</v>
      </c>
      <c r="G403" s="2" t="s">
        <v>63</v>
      </c>
      <c r="H403" s="2" t="s">
        <v>114</v>
      </c>
      <c r="I403" s="1" t="s">
        <v>34</v>
      </c>
      <c r="J403" s="1" t="s">
        <v>56</v>
      </c>
      <c r="K403" s="1" t="s">
        <v>23</v>
      </c>
      <c r="L403" s="1" t="s">
        <v>36</v>
      </c>
      <c r="M403" s="2" t="s">
        <v>2300</v>
      </c>
    </row>
    <row r="404">
      <c r="A404" s="1" t="s">
        <v>2301</v>
      </c>
      <c r="B404" s="1" t="s">
        <v>2302</v>
      </c>
      <c r="C404" s="2" t="s">
        <v>2303</v>
      </c>
      <c r="D404" s="2" t="s">
        <v>2304</v>
      </c>
      <c r="E404" s="1" t="s">
        <v>200</v>
      </c>
      <c r="F404" s="2" t="s">
        <v>2305</v>
      </c>
      <c r="G404" s="2" t="s">
        <v>32</v>
      </c>
      <c r="H404" s="2" t="s">
        <v>345</v>
      </c>
      <c r="I404" s="1" t="s">
        <v>34</v>
      </c>
      <c r="J404" s="1" t="s">
        <v>73</v>
      </c>
      <c r="K404" s="1" t="s">
        <v>88</v>
      </c>
      <c r="L404" s="1" t="s">
        <v>46</v>
      </c>
      <c r="M404" s="2" t="s">
        <v>2306</v>
      </c>
    </row>
    <row r="405">
      <c r="A405" s="1" t="s">
        <v>2307</v>
      </c>
      <c r="B405" s="1" t="s">
        <v>2308</v>
      </c>
      <c r="C405" s="2" t="s">
        <v>2309</v>
      </c>
      <c r="D405" s="2" t="s">
        <v>2310</v>
      </c>
      <c r="E405" s="1" t="s">
        <v>200</v>
      </c>
      <c r="F405" s="2" t="s">
        <v>2311</v>
      </c>
      <c r="G405" s="2" t="s">
        <v>44</v>
      </c>
      <c r="H405" s="2" t="s">
        <v>483</v>
      </c>
      <c r="I405" s="1" t="s">
        <v>65</v>
      </c>
      <c r="J405" s="1" t="s">
        <v>56</v>
      </c>
      <c r="K405" s="1" t="s">
        <v>121</v>
      </c>
      <c r="L405" s="1" t="s">
        <v>36</v>
      </c>
      <c r="M405" s="2" t="s">
        <v>2312</v>
      </c>
    </row>
    <row r="406">
      <c r="A406" s="1" t="s">
        <v>2313</v>
      </c>
      <c r="B406" s="1" t="s">
        <v>2314</v>
      </c>
      <c r="C406" s="2" t="s">
        <v>1950</v>
      </c>
      <c r="D406" s="2" t="s">
        <v>2315</v>
      </c>
      <c r="E406" s="1" t="s">
        <v>42</v>
      </c>
      <c r="F406" s="2" t="s">
        <v>2316</v>
      </c>
      <c r="G406" s="2" t="s">
        <v>44</v>
      </c>
      <c r="H406" s="2" t="s">
        <v>128</v>
      </c>
      <c r="I406" s="1" t="s">
        <v>21</v>
      </c>
      <c r="J406" s="1" t="s">
        <v>56</v>
      </c>
      <c r="K406" s="1" t="s">
        <v>23</v>
      </c>
      <c r="L406" s="1" t="s">
        <v>24</v>
      </c>
      <c r="M406" s="2" t="s">
        <v>2317</v>
      </c>
    </row>
    <row r="407">
      <c r="A407" s="1" t="s">
        <v>2318</v>
      </c>
      <c r="B407" s="1" t="s">
        <v>2319</v>
      </c>
      <c r="C407" s="2" t="s">
        <v>1451</v>
      </c>
      <c r="D407" s="2" t="s">
        <v>2320</v>
      </c>
      <c r="E407" s="1" t="s">
        <v>52</v>
      </c>
      <c r="F407" s="2" t="s">
        <v>1560</v>
      </c>
      <c r="G407" s="2" t="s">
        <v>19</v>
      </c>
      <c r="H407" s="2" t="s">
        <v>64</v>
      </c>
      <c r="I407" s="1" t="s">
        <v>65</v>
      </c>
      <c r="J407" s="1" t="s">
        <v>56</v>
      </c>
      <c r="K407" s="1" t="s">
        <v>35</v>
      </c>
      <c r="L407" s="1" t="s">
        <v>24</v>
      </c>
      <c r="M407" s="2" t="s">
        <v>2321</v>
      </c>
    </row>
    <row r="408">
      <c r="A408" s="1" t="s">
        <v>2322</v>
      </c>
      <c r="B408" s="1" t="s">
        <v>2323</v>
      </c>
      <c r="C408" s="2" t="s">
        <v>1657</v>
      </c>
      <c r="D408" s="2" t="s">
        <v>2324</v>
      </c>
      <c r="E408" s="1" t="s">
        <v>200</v>
      </c>
      <c r="F408" s="2" t="s">
        <v>2325</v>
      </c>
      <c r="G408" s="2" t="s">
        <v>19</v>
      </c>
      <c r="H408" s="2" t="s">
        <v>141</v>
      </c>
      <c r="I408" s="1" t="s">
        <v>55</v>
      </c>
      <c r="J408" s="1" t="s">
        <v>56</v>
      </c>
      <c r="K408" s="1" t="s">
        <v>35</v>
      </c>
      <c r="L408" s="1" t="s">
        <v>36</v>
      </c>
      <c r="M408" s="2" t="s">
        <v>2326</v>
      </c>
    </row>
    <row r="409">
      <c r="A409" s="1" t="s">
        <v>2327</v>
      </c>
      <c r="B409" s="1" t="s">
        <v>2328</v>
      </c>
      <c r="C409" s="2" t="s">
        <v>293</v>
      </c>
      <c r="D409" s="2" t="s">
        <v>2329</v>
      </c>
      <c r="E409" s="1" t="s">
        <v>17</v>
      </c>
      <c r="F409" s="2" t="s">
        <v>2330</v>
      </c>
      <c r="G409" s="2" t="s">
        <v>63</v>
      </c>
      <c r="H409" s="2" t="s">
        <v>64</v>
      </c>
      <c r="I409" s="1" t="s">
        <v>34</v>
      </c>
      <c r="J409" s="1" t="s">
        <v>45</v>
      </c>
      <c r="K409" s="1" t="s">
        <v>35</v>
      </c>
      <c r="L409" s="1" t="s">
        <v>24</v>
      </c>
      <c r="M409" s="2" t="s">
        <v>2331</v>
      </c>
    </row>
    <row r="410">
      <c r="A410" s="1" t="s">
        <v>2332</v>
      </c>
      <c r="B410" s="1" t="s">
        <v>2333</v>
      </c>
      <c r="C410" s="2" t="s">
        <v>1361</v>
      </c>
      <c r="D410" s="2" t="s">
        <v>2334</v>
      </c>
      <c r="E410" s="1" t="s">
        <v>17</v>
      </c>
      <c r="F410" s="2" t="s">
        <v>1238</v>
      </c>
      <c r="G410" s="2" t="s">
        <v>44</v>
      </c>
      <c r="H410" s="2" t="s">
        <v>194</v>
      </c>
      <c r="I410" s="1" t="s">
        <v>21</v>
      </c>
      <c r="J410" s="1" t="s">
        <v>56</v>
      </c>
      <c r="K410" s="1" t="s">
        <v>35</v>
      </c>
      <c r="L410" s="1" t="s">
        <v>36</v>
      </c>
      <c r="M410" s="2" t="s">
        <v>2335</v>
      </c>
    </row>
    <row r="411">
      <c r="A411" s="1" t="s">
        <v>2336</v>
      </c>
      <c r="B411" s="1" t="s">
        <v>2337</v>
      </c>
      <c r="C411" s="2" t="s">
        <v>1340</v>
      </c>
      <c r="D411" s="2" t="s">
        <v>2338</v>
      </c>
      <c r="E411" s="1" t="s">
        <v>52</v>
      </c>
      <c r="F411" s="2" t="s">
        <v>2339</v>
      </c>
      <c r="G411" s="2" t="s">
        <v>63</v>
      </c>
      <c r="H411" s="2" t="s">
        <v>345</v>
      </c>
      <c r="I411" s="1" t="s">
        <v>21</v>
      </c>
      <c r="J411" s="1" t="s">
        <v>22</v>
      </c>
      <c r="K411" s="1" t="s">
        <v>88</v>
      </c>
      <c r="L411" s="1" t="s">
        <v>36</v>
      </c>
      <c r="M411" s="2" t="s">
        <v>2340</v>
      </c>
    </row>
    <row r="412">
      <c r="A412" s="1" t="s">
        <v>2341</v>
      </c>
      <c r="B412" s="1" t="s">
        <v>2342</v>
      </c>
      <c r="C412" s="2" t="s">
        <v>446</v>
      </c>
      <c r="D412" s="2" t="s">
        <v>2343</v>
      </c>
      <c r="E412" s="1" t="s">
        <v>42</v>
      </c>
      <c r="F412" s="2" t="s">
        <v>2344</v>
      </c>
      <c r="G412" s="2" t="s">
        <v>19</v>
      </c>
      <c r="H412" s="2" t="s">
        <v>95</v>
      </c>
      <c r="I412" s="1" t="s">
        <v>65</v>
      </c>
      <c r="J412" s="1" t="s">
        <v>22</v>
      </c>
      <c r="K412" s="1" t="s">
        <v>23</v>
      </c>
      <c r="L412" s="1" t="s">
        <v>46</v>
      </c>
      <c r="M412" s="2" t="s">
        <v>2345</v>
      </c>
    </row>
    <row r="413">
      <c r="A413" s="1" t="s">
        <v>2346</v>
      </c>
      <c r="B413" s="1" t="s">
        <v>2347</v>
      </c>
      <c r="C413" s="2" t="s">
        <v>2348</v>
      </c>
      <c r="D413" s="2" t="s">
        <v>2349</v>
      </c>
      <c r="E413" s="1" t="s">
        <v>17</v>
      </c>
      <c r="F413" s="2" t="s">
        <v>2350</v>
      </c>
      <c r="G413" s="2" t="s">
        <v>44</v>
      </c>
      <c r="H413" s="2" t="s">
        <v>54</v>
      </c>
      <c r="I413" s="1" t="s">
        <v>21</v>
      </c>
      <c r="J413" s="1" t="s">
        <v>73</v>
      </c>
      <c r="K413" s="1" t="s">
        <v>88</v>
      </c>
      <c r="L413" s="1" t="s">
        <v>24</v>
      </c>
      <c r="M413" s="2" t="s">
        <v>2351</v>
      </c>
    </row>
    <row r="414">
      <c r="A414" s="1" t="s">
        <v>2352</v>
      </c>
      <c r="B414" s="1" t="s">
        <v>2353</v>
      </c>
      <c r="C414" s="2" t="s">
        <v>2354</v>
      </c>
      <c r="D414" s="2" t="s">
        <v>2355</v>
      </c>
      <c r="E414" s="1" t="s">
        <v>200</v>
      </c>
      <c r="F414" s="2" t="s">
        <v>2356</v>
      </c>
      <c r="G414" s="2" t="s">
        <v>44</v>
      </c>
      <c r="H414" s="2" t="s">
        <v>326</v>
      </c>
      <c r="I414" s="1" t="s">
        <v>21</v>
      </c>
      <c r="J414" s="1" t="s">
        <v>73</v>
      </c>
      <c r="K414" s="1" t="s">
        <v>88</v>
      </c>
      <c r="L414" s="1" t="s">
        <v>36</v>
      </c>
      <c r="M414" s="2" t="s">
        <v>2357</v>
      </c>
    </row>
    <row r="415">
      <c r="A415" s="1" t="s">
        <v>2358</v>
      </c>
      <c r="B415" s="1" t="s">
        <v>2359</v>
      </c>
      <c r="C415" s="2" t="s">
        <v>399</v>
      </c>
      <c r="D415" s="2" t="s">
        <v>2360</v>
      </c>
      <c r="E415" s="1" t="s">
        <v>30</v>
      </c>
      <c r="F415" s="2" t="s">
        <v>2361</v>
      </c>
      <c r="G415" s="2" t="s">
        <v>19</v>
      </c>
      <c r="H415" s="2" t="s">
        <v>54</v>
      </c>
      <c r="I415" s="1" t="s">
        <v>65</v>
      </c>
      <c r="J415" s="1" t="s">
        <v>22</v>
      </c>
      <c r="K415" s="1" t="s">
        <v>88</v>
      </c>
      <c r="L415" s="1" t="s">
        <v>46</v>
      </c>
      <c r="M415" s="2" t="s">
        <v>2362</v>
      </c>
    </row>
    <row r="416">
      <c r="A416" s="1" t="s">
        <v>2363</v>
      </c>
      <c r="B416" s="1" t="s">
        <v>2364</v>
      </c>
      <c r="C416" s="2" t="s">
        <v>2365</v>
      </c>
      <c r="D416" s="2" t="s">
        <v>2366</v>
      </c>
      <c r="E416" s="1" t="s">
        <v>200</v>
      </c>
      <c r="F416" s="2" t="s">
        <v>2367</v>
      </c>
      <c r="G416" s="2" t="s">
        <v>63</v>
      </c>
      <c r="H416" s="2" t="s">
        <v>114</v>
      </c>
      <c r="I416" s="1" t="s">
        <v>34</v>
      </c>
      <c r="J416" s="1" t="s">
        <v>45</v>
      </c>
      <c r="K416" s="1" t="s">
        <v>35</v>
      </c>
      <c r="L416" s="1" t="s">
        <v>46</v>
      </c>
      <c r="M416" s="2" t="s">
        <v>2368</v>
      </c>
    </row>
    <row r="417">
      <c r="A417" s="1" t="s">
        <v>2369</v>
      </c>
      <c r="B417" s="1" t="s">
        <v>2370</v>
      </c>
      <c r="C417" s="2" t="s">
        <v>835</v>
      </c>
      <c r="D417" s="2" t="s">
        <v>2371</v>
      </c>
      <c r="E417" s="1" t="s">
        <v>52</v>
      </c>
      <c r="F417" s="2" t="s">
        <v>2372</v>
      </c>
      <c r="G417" s="2" t="s">
        <v>19</v>
      </c>
      <c r="H417" s="2" t="s">
        <v>128</v>
      </c>
      <c r="I417" s="1" t="s">
        <v>65</v>
      </c>
      <c r="J417" s="1" t="s">
        <v>56</v>
      </c>
      <c r="K417" s="1" t="s">
        <v>35</v>
      </c>
      <c r="L417" s="1" t="s">
        <v>36</v>
      </c>
      <c r="M417" s="2" t="s">
        <v>2373</v>
      </c>
    </row>
    <row r="418">
      <c r="A418" s="1" t="s">
        <v>2374</v>
      </c>
      <c r="B418" s="1" t="s">
        <v>2375</v>
      </c>
      <c r="C418" s="2" t="s">
        <v>2376</v>
      </c>
      <c r="D418" s="2" t="s">
        <v>2377</v>
      </c>
      <c r="E418" s="1" t="s">
        <v>17</v>
      </c>
      <c r="F418" s="2" t="s">
        <v>2378</v>
      </c>
      <c r="G418" s="2" t="s">
        <v>19</v>
      </c>
      <c r="H418" s="2" t="s">
        <v>95</v>
      </c>
      <c r="I418" s="1" t="s">
        <v>34</v>
      </c>
      <c r="J418" s="1" t="s">
        <v>22</v>
      </c>
      <c r="K418" s="1" t="s">
        <v>121</v>
      </c>
      <c r="L418" s="1" t="s">
        <v>46</v>
      </c>
      <c r="M418" s="2" t="s">
        <v>2379</v>
      </c>
    </row>
    <row r="419">
      <c r="A419" s="1" t="s">
        <v>2380</v>
      </c>
      <c r="B419" s="1" t="s">
        <v>2381</v>
      </c>
      <c r="C419" s="2" t="s">
        <v>742</v>
      </c>
      <c r="D419" s="2" t="s">
        <v>2382</v>
      </c>
      <c r="E419" s="1" t="s">
        <v>200</v>
      </c>
      <c r="F419" s="2" t="s">
        <v>2383</v>
      </c>
      <c r="G419" s="2" t="s">
        <v>32</v>
      </c>
      <c r="H419" s="2" t="s">
        <v>345</v>
      </c>
      <c r="I419" s="1" t="s">
        <v>55</v>
      </c>
      <c r="J419" s="1" t="s">
        <v>22</v>
      </c>
      <c r="K419" s="1" t="s">
        <v>35</v>
      </c>
      <c r="L419" s="1" t="s">
        <v>24</v>
      </c>
      <c r="M419" s="2" t="s">
        <v>2384</v>
      </c>
    </row>
    <row r="420">
      <c r="A420" s="1" t="s">
        <v>2385</v>
      </c>
      <c r="B420" s="1" t="s">
        <v>2386</v>
      </c>
      <c r="C420" s="2" t="s">
        <v>552</v>
      </c>
      <c r="D420" s="2" t="s">
        <v>2387</v>
      </c>
      <c r="E420" s="1" t="s">
        <v>200</v>
      </c>
      <c r="F420" s="2" t="s">
        <v>2388</v>
      </c>
      <c r="G420" s="2" t="s">
        <v>63</v>
      </c>
      <c r="H420" s="2" t="s">
        <v>80</v>
      </c>
      <c r="I420" s="1" t="s">
        <v>55</v>
      </c>
      <c r="J420" s="1" t="s">
        <v>73</v>
      </c>
      <c r="K420" s="1" t="s">
        <v>81</v>
      </c>
      <c r="L420" s="1" t="s">
        <v>46</v>
      </c>
      <c r="M420" s="2" t="s">
        <v>2389</v>
      </c>
    </row>
    <row r="421">
      <c r="A421" s="1" t="s">
        <v>2390</v>
      </c>
      <c r="B421" s="1" t="s">
        <v>2391</v>
      </c>
      <c r="C421" s="2" t="s">
        <v>1219</v>
      </c>
      <c r="D421" s="2" t="s">
        <v>2392</v>
      </c>
      <c r="E421" s="1" t="s">
        <v>42</v>
      </c>
      <c r="F421" s="2" t="s">
        <v>2393</v>
      </c>
      <c r="G421" s="2" t="s">
        <v>63</v>
      </c>
      <c r="H421" s="2" t="s">
        <v>33</v>
      </c>
      <c r="I421" s="1" t="s">
        <v>55</v>
      </c>
      <c r="J421" s="1" t="s">
        <v>45</v>
      </c>
      <c r="K421" s="1" t="s">
        <v>121</v>
      </c>
      <c r="L421" s="1" t="s">
        <v>36</v>
      </c>
      <c r="M421" s="2" t="s">
        <v>2394</v>
      </c>
    </row>
    <row r="422">
      <c r="A422" s="1" t="s">
        <v>2395</v>
      </c>
      <c r="B422" s="1" t="s">
        <v>2396</v>
      </c>
      <c r="C422" s="2" t="s">
        <v>2397</v>
      </c>
      <c r="D422" s="2" t="s">
        <v>2398</v>
      </c>
      <c r="E422" s="1" t="s">
        <v>42</v>
      </c>
      <c r="F422" s="2" t="s">
        <v>2399</v>
      </c>
      <c r="G422" s="2" t="s">
        <v>32</v>
      </c>
      <c r="H422" s="2" t="s">
        <v>95</v>
      </c>
      <c r="I422" s="1" t="s">
        <v>34</v>
      </c>
      <c r="J422" s="1" t="s">
        <v>45</v>
      </c>
      <c r="K422" s="1" t="s">
        <v>23</v>
      </c>
      <c r="L422" s="1" t="s">
        <v>46</v>
      </c>
      <c r="M422" s="2" t="s">
        <v>2400</v>
      </c>
    </row>
    <row r="423">
      <c r="A423" s="1" t="s">
        <v>2401</v>
      </c>
      <c r="B423" s="1" t="s">
        <v>2402</v>
      </c>
      <c r="C423" s="2" t="s">
        <v>2403</v>
      </c>
      <c r="D423" s="2" t="s">
        <v>2404</v>
      </c>
      <c r="E423" s="1" t="s">
        <v>17</v>
      </c>
      <c r="F423" s="2" t="s">
        <v>2405</v>
      </c>
      <c r="G423" s="2" t="s">
        <v>44</v>
      </c>
      <c r="H423" s="2" t="s">
        <v>20</v>
      </c>
      <c r="I423" s="1" t="s">
        <v>65</v>
      </c>
      <c r="J423" s="1" t="s">
        <v>73</v>
      </c>
      <c r="K423" s="1" t="s">
        <v>23</v>
      </c>
      <c r="L423" s="1" t="s">
        <v>24</v>
      </c>
      <c r="M423" s="2" t="s">
        <v>2406</v>
      </c>
    </row>
    <row r="424">
      <c r="A424" s="1" t="s">
        <v>2407</v>
      </c>
      <c r="B424" s="1" t="s">
        <v>2408</v>
      </c>
      <c r="C424" s="2" t="s">
        <v>2409</v>
      </c>
      <c r="D424" s="2" t="s">
        <v>2410</v>
      </c>
      <c r="E424" s="1" t="s">
        <v>30</v>
      </c>
      <c r="F424" s="2" t="s">
        <v>2411</v>
      </c>
      <c r="G424" s="2" t="s">
        <v>19</v>
      </c>
      <c r="H424" s="2" t="s">
        <v>214</v>
      </c>
      <c r="I424" s="1" t="s">
        <v>34</v>
      </c>
      <c r="J424" s="1" t="s">
        <v>73</v>
      </c>
      <c r="K424" s="1" t="s">
        <v>121</v>
      </c>
      <c r="L424" s="1" t="s">
        <v>46</v>
      </c>
      <c r="M424" s="2" t="s">
        <v>2412</v>
      </c>
    </row>
    <row r="425">
      <c r="A425" s="1" t="s">
        <v>2413</v>
      </c>
      <c r="B425" s="1" t="s">
        <v>2414</v>
      </c>
      <c r="C425" s="2" t="s">
        <v>2415</v>
      </c>
      <c r="D425" s="2" t="s">
        <v>2416</v>
      </c>
      <c r="E425" s="1" t="s">
        <v>30</v>
      </c>
      <c r="F425" s="2" t="s">
        <v>2417</v>
      </c>
      <c r="G425" s="2" t="s">
        <v>19</v>
      </c>
      <c r="H425" s="2" t="s">
        <v>114</v>
      </c>
      <c r="I425" s="1" t="s">
        <v>65</v>
      </c>
      <c r="J425" s="1" t="s">
        <v>73</v>
      </c>
      <c r="K425" s="1" t="s">
        <v>81</v>
      </c>
      <c r="L425" s="1" t="s">
        <v>24</v>
      </c>
      <c r="M425" s="2" t="s">
        <v>2418</v>
      </c>
    </row>
    <row r="426">
      <c r="A426" s="1" t="s">
        <v>2419</v>
      </c>
      <c r="B426" s="1" t="s">
        <v>2420</v>
      </c>
      <c r="C426" s="2" t="s">
        <v>118</v>
      </c>
      <c r="D426" s="2" t="s">
        <v>2421</v>
      </c>
      <c r="E426" s="1" t="s">
        <v>200</v>
      </c>
      <c r="F426" s="2" t="s">
        <v>2422</v>
      </c>
      <c r="G426" s="2" t="s">
        <v>63</v>
      </c>
      <c r="H426" s="2" t="s">
        <v>64</v>
      </c>
      <c r="I426" s="1" t="s">
        <v>65</v>
      </c>
      <c r="J426" s="1" t="s">
        <v>56</v>
      </c>
      <c r="K426" s="1" t="s">
        <v>88</v>
      </c>
      <c r="L426" s="1" t="s">
        <v>36</v>
      </c>
      <c r="M426" s="2" t="s">
        <v>2423</v>
      </c>
    </row>
    <row r="427">
      <c r="A427" s="1" t="s">
        <v>2424</v>
      </c>
      <c r="B427" s="1" t="s">
        <v>2425</v>
      </c>
      <c r="C427" s="2" t="s">
        <v>499</v>
      </c>
      <c r="D427" s="2" t="s">
        <v>2426</v>
      </c>
      <c r="E427" s="1" t="s">
        <v>17</v>
      </c>
      <c r="F427" s="2" t="s">
        <v>2427</v>
      </c>
      <c r="G427" s="2" t="s">
        <v>63</v>
      </c>
      <c r="H427" s="2" t="s">
        <v>114</v>
      </c>
      <c r="I427" s="1" t="s">
        <v>34</v>
      </c>
      <c r="J427" s="1" t="s">
        <v>22</v>
      </c>
      <c r="K427" s="1" t="s">
        <v>23</v>
      </c>
      <c r="L427" s="1" t="s">
        <v>24</v>
      </c>
      <c r="M427" s="2" t="s">
        <v>2428</v>
      </c>
    </row>
    <row r="428">
      <c r="A428" s="1" t="s">
        <v>2429</v>
      </c>
      <c r="B428" s="1" t="s">
        <v>2430</v>
      </c>
      <c r="C428" s="2" t="s">
        <v>2431</v>
      </c>
      <c r="D428" s="2" t="s">
        <v>2432</v>
      </c>
      <c r="E428" s="1" t="s">
        <v>42</v>
      </c>
      <c r="F428" s="2" t="s">
        <v>2433</v>
      </c>
      <c r="G428" s="2" t="s">
        <v>63</v>
      </c>
      <c r="H428" s="2" t="s">
        <v>114</v>
      </c>
      <c r="I428" s="1" t="s">
        <v>21</v>
      </c>
      <c r="J428" s="1" t="s">
        <v>56</v>
      </c>
      <c r="K428" s="1" t="s">
        <v>121</v>
      </c>
      <c r="L428" s="1" t="s">
        <v>36</v>
      </c>
      <c r="M428" s="2" t="s">
        <v>2434</v>
      </c>
    </row>
    <row r="429">
      <c r="A429" s="1" t="s">
        <v>2435</v>
      </c>
      <c r="B429" s="1" t="s">
        <v>2436</v>
      </c>
      <c r="C429" s="2" t="s">
        <v>1291</v>
      </c>
      <c r="D429" s="2" t="s">
        <v>2437</v>
      </c>
      <c r="E429" s="1" t="s">
        <v>30</v>
      </c>
      <c r="F429" s="2" t="s">
        <v>2438</v>
      </c>
      <c r="G429" s="2" t="s">
        <v>44</v>
      </c>
      <c r="H429" s="2" t="s">
        <v>95</v>
      </c>
      <c r="I429" s="1" t="s">
        <v>34</v>
      </c>
      <c r="J429" s="1" t="s">
        <v>45</v>
      </c>
      <c r="K429" s="1" t="s">
        <v>121</v>
      </c>
      <c r="L429" s="1" t="s">
        <v>36</v>
      </c>
      <c r="M429" s="2" t="s">
        <v>2439</v>
      </c>
    </row>
    <row r="430">
      <c r="A430" s="1" t="s">
        <v>2440</v>
      </c>
      <c r="B430" s="1" t="s">
        <v>2441</v>
      </c>
      <c r="C430" s="2" t="s">
        <v>999</v>
      </c>
      <c r="D430" s="2" t="s">
        <v>2442</v>
      </c>
      <c r="E430" s="1" t="s">
        <v>52</v>
      </c>
      <c r="F430" s="2" t="s">
        <v>2443</v>
      </c>
      <c r="G430" s="2" t="s">
        <v>44</v>
      </c>
      <c r="H430" s="2" t="s">
        <v>194</v>
      </c>
      <c r="I430" s="1" t="s">
        <v>34</v>
      </c>
      <c r="J430" s="1" t="s">
        <v>56</v>
      </c>
      <c r="K430" s="1" t="s">
        <v>121</v>
      </c>
      <c r="L430" s="1" t="s">
        <v>36</v>
      </c>
      <c r="M430" s="2" t="s">
        <v>2444</v>
      </c>
    </row>
    <row r="431">
      <c r="A431" s="1" t="s">
        <v>2445</v>
      </c>
      <c r="B431" s="1" t="s">
        <v>2446</v>
      </c>
      <c r="C431" s="2" t="s">
        <v>800</v>
      </c>
      <c r="D431" s="2" t="s">
        <v>2447</v>
      </c>
      <c r="E431" s="1" t="s">
        <v>200</v>
      </c>
      <c r="F431" s="2" t="s">
        <v>2448</v>
      </c>
      <c r="G431" s="2" t="s">
        <v>19</v>
      </c>
      <c r="H431" s="2" t="s">
        <v>95</v>
      </c>
      <c r="I431" s="1" t="s">
        <v>34</v>
      </c>
      <c r="J431" s="1" t="s">
        <v>73</v>
      </c>
      <c r="K431" s="1" t="s">
        <v>121</v>
      </c>
      <c r="L431" s="1" t="s">
        <v>46</v>
      </c>
      <c r="M431" s="2" t="s">
        <v>2449</v>
      </c>
    </row>
    <row r="432">
      <c r="A432" s="1" t="s">
        <v>2450</v>
      </c>
      <c r="B432" s="1" t="s">
        <v>2451</v>
      </c>
      <c r="C432" s="2" t="s">
        <v>1552</v>
      </c>
      <c r="D432" s="2" t="s">
        <v>2452</v>
      </c>
      <c r="E432" s="1" t="s">
        <v>42</v>
      </c>
      <c r="F432" s="2" t="s">
        <v>2453</v>
      </c>
      <c r="G432" s="2" t="s">
        <v>32</v>
      </c>
      <c r="H432" s="2" t="s">
        <v>80</v>
      </c>
      <c r="I432" s="1" t="s">
        <v>34</v>
      </c>
      <c r="J432" s="1" t="s">
        <v>73</v>
      </c>
      <c r="K432" s="1" t="s">
        <v>81</v>
      </c>
      <c r="L432" s="1" t="s">
        <v>24</v>
      </c>
      <c r="M432" s="2" t="s">
        <v>2454</v>
      </c>
    </row>
    <row r="433">
      <c r="A433" s="1" t="s">
        <v>2455</v>
      </c>
      <c r="B433" s="1" t="s">
        <v>2456</v>
      </c>
      <c r="C433" s="2" t="s">
        <v>680</v>
      </c>
      <c r="D433" s="2" t="s">
        <v>2457</v>
      </c>
      <c r="E433" s="1" t="s">
        <v>200</v>
      </c>
      <c r="F433" s="2" t="s">
        <v>2458</v>
      </c>
      <c r="G433" s="2" t="s">
        <v>63</v>
      </c>
      <c r="H433" s="2" t="s">
        <v>214</v>
      </c>
      <c r="I433" s="1" t="s">
        <v>21</v>
      </c>
      <c r="J433" s="1" t="s">
        <v>73</v>
      </c>
      <c r="K433" s="1" t="s">
        <v>23</v>
      </c>
      <c r="L433" s="1" t="s">
        <v>36</v>
      </c>
      <c r="M433" s="2" t="s">
        <v>2459</v>
      </c>
    </row>
    <row r="434">
      <c r="A434" s="1" t="s">
        <v>2460</v>
      </c>
      <c r="B434" s="1" t="s">
        <v>2461</v>
      </c>
      <c r="C434" s="2" t="s">
        <v>1787</v>
      </c>
      <c r="D434" s="2" t="s">
        <v>2462</v>
      </c>
      <c r="E434" s="1" t="s">
        <v>200</v>
      </c>
      <c r="F434" s="2" t="s">
        <v>2463</v>
      </c>
      <c r="G434" s="2" t="s">
        <v>32</v>
      </c>
      <c r="H434" s="2" t="s">
        <v>214</v>
      </c>
      <c r="I434" s="1" t="s">
        <v>65</v>
      </c>
      <c r="J434" s="1" t="s">
        <v>73</v>
      </c>
      <c r="K434" s="1" t="s">
        <v>35</v>
      </c>
      <c r="L434" s="1" t="s">
        <v>46</v>
      </c>
      <c r="M434" s="2" t="s">
        <v>2464</v>
      </c>
    </row>
    <row r="435">
      <c r="A435" s="1" t="s">
        <v>2465</v>
      </c>
      <c r="B435" s="1" t="s">
        <v>2466</v>
      </c>
      <c r="C435" s="2" t="s">
        <v>211</v>
      </c>
      <c r="D435" s="2" t="s">
        <v>2467</v>
      </c>
      <c r="E435" s="1" t="s">
        <v>30</v>
      </c>
      <c r="F435" s="2" t="s">
        <v>2468</v>
      </c>
      <c r="G435" s="2" t="s">
        <v>19</v>
      </c>
      <c r="H435" s="2" t="s">
        <v>80</v>
      </c>
      <c r="I435" s="1" t="s">
        <v>34</v>
      </c>
      <c r="J435" s="1" t="s">
        <v>22</v>
      </c>
      <c r="K435" s="1" t="s">
        <v>35</v>
      </c>
      <c r="L435" s="1" t="s">
        <v>36</v>
      </c>
      <c r="M435" s="2" t="s">
        <v>2469</v>
      </c>
    </row>
    <row r="436">
      <c r="A436" s="1" t="s">
        <v>2470</v>
      </c>
      <c r="B436" s="1" t="s">
        <v>2471</v>
      </c>
      <c r="C436" s="2" t="s">
        <v>464</v>
      </c>
      <c r="D436" s="2" t="s">
        <v>2472</v>
      </c>
      <c r="E436" s="1" t="s">
        <v>30</v>
      </c>
      <c r="F436" s="2" t="s">
        <v>2473</v>
      </c>
      <c r="G436" s="2" t="s">
        <v>19</v>
      </c>
      <c r="H436" s="2" t="s">
        <v>194</v>
      </c>
      <c r="I436" s="1" t="s">
        <v>65</v>
      </c>
      <c r="J436" s="1" t="s">
        <v>22</v>
      </c>
      <c r="K436" s="1" t="s">
        <v>23</v>
      </c>
      <c r="L436" s="1" t="s">
        <v>24</v>
      </c>
      <c r="M436" s="2" t="s">
        <v>2474</v>
      </c>
    </row>
    <row r="437">
      <c r="A437" s="1" t="s">
        <v>2475</v>
      </c>
      <c r="B437" s="1" t="s">
        <v>2476</v>
      </c>
      <c r="C437" s="2" t="s">
        <v>1172</v>
      </c>
      <c r="D437" s="2" t="s">
        <v>2477</v>
      </c>
      <c r="E437" s="1" t="s">
        <v>200</v>
      </c>
      <c r="F437" s="2" t="s">
        <v>2478</v>
      </c>
      <c r="G437" s="2" t="s">
        <v>32</v>
      </c>
      <c r="H437" s="2" t="s">
        <v>114</v>
      </c>
      <c r="I437" s="1" t="s">
        <v>55</v>
      </c>
      <c r="J437" s="1" t="s">
        <v>22</v>
      </c>
      <c r="K437" s="1" t="s">
        <v>35</v>
      </c>
      <c r="L437" s="1" t="s">
        <v>36</v>
      </c>
      <c r="M437" s="2" t="s">
        <v>2479</v>
      </c>
    </row>
    <row r="438">
      <c r="A438" s="1" t="s">
        <v>2480</v>
      </c>
      <c r="B438" s="1" t="s">
        <v>2481</v>
      </c>
      <c r="C438" s="2" t="s">
        <v>2376</v>
      </c>
      <c r="D438" s="2" t="s">
        <v>2482</v>
      </c>
      <c r="E438" s="1" t="s">
        <v>42</v>
      </c>
      <c r="F438" s="2" t="s">
        <v>2483</v>
      </c>
      <c r="G438" s="2" t="s">
        <v>63</v>
      </c>
      <c r="H438" s="2" t="s">
        <v>483</v>
      </c>
      <c r="I438" s="1" t="s">
        <v>34</v>
      </c>
      <c r="J438" s="1" t="s">
        <v>45</v>
      </c>
      <c r="K438" s="1" t="s">
        <v>23</v>
      </c>
      <c r="L438" s="1" t="s">
        <v>24</v>
      </c>
      <c r="M438" s="2" t="s">
        <v>2484</v>
      </c>
    </row>
    <row r="439">
      <c r="A439" s="1" t="s">
        <v>2485</v>
      </c>
      <c r="B439" s="1" t="s">
        <v>2486</v>
      </c>
      <c r="C439" s="2" t="s">
        <v>2487</v>
      </c>
      <c r="D439" s="2" t="s">
        <v>2488</v>
      </c>
      <c r="E439" s="1" t="s">
        <v>52</v>
      </c>
      <c r="F439" s="2" t="s">
        <v>2489</v>
      </c>
      <c r="G439" s="2" t="s">
        <v>19</v>
      </c>
      <c r="H439" s="2" t="s">
        <v>141</v>
      </c>
      <c r="I439" s="1" t="s">
        <v>65</v>
      </c>
      <c r="J439" s="1" t="s">
        <v>73</v>
      </c>
      <c r="K439" s="1" t="s">
        <v>121</v>
      </c>
      <c r="L439" s="1" t="s">
        <v>46</v>
      </c>
      <c r="M439" s="2" t="s">
        <v>2490</v>
      </c>
    </row>
    <row r="440">
      <c r="A440" s="1" t="s">
        <v>2491</v>
      </c>
      <c r="B440" s="1" t="s">
        <v>2492</v>
      </c>
      <c r="C440" s="2" t="s">
        <v>1144</v>
      </c>
      <c r="D440" s="2" t="s">
        <v>2493</v>
      </c>
      <c r="E440" s="1" t="s">
        <v>52</v>
      </c>
      <c r="F440" s="2" t="s">
        <v>2494</v>
      </c>
      <c r="G440" s="2" t="s">
        <v>19</v>
      </c>
      <c r="H440" s="2" t="s">
        <v>20</v>
      </c>
      <c r="I440" s="1" t="s">
        <v>55</v>
      </c>
      <c r="J440" s="1" t="s">
        <v>22</v>
      </c>
      <c r="K440" s="1" t="s">
        <v>81</v>
      </c>
      <c r="L440" s="1" t="s">
        <v>36</v>
      </c>
      <c r="M440" s="2" t="s">
        <v>2495</v>
      </c>
    </row>
    <row r="441">
      <c r="A441" s="1" t="s">
        <v>2496</v>
      </c>
      <c r="B441" s="1" t="s">
        <v>2497</v>
      </c>
      <c r="C441" s="2" t="s">
        <v>2498</v>
      </c>
      <c r="D441" s="2" t="s">
        <v>2499</v>
      </c>
      <c r="E441" s="1" t="s">
        <v>30</v>
      </c>
      <c r="F441" s="2" t="s">
        <v>2500</v>
      </c>
      <c r="G441" s="2" t="s">
        <v>63</v>
      </c>
      <c r="H441" s="2" t="s">
        <v>214</v>
      </c>
      <c r="I441" s="1" t="s">
        <v>65</v>
      </c>
      <c r="J441" s="1" t="s">
        <v>22</v>
      </c>
      <c r="K441" s="1" t="s">
        <v>88</v>
      </c>
      <c r="L441" s="1" t="s">
        <v>46</v>
      </c>
      <c r="M441" s="2" t="s">
        <v>2501</v>
      </c>
    </row>
    <row r="442">
      <c r="A442" s="1" t="s">
        <v>2502</v>
      </c>
      <c r="B442" s="1" t="s">
        <v>2503</v>
      </c>
      <c r="C442" s="2" t="s">
        <v>914</v>
      </c>
      <c r="D442" s="2" t="s">
        <v>2504</v>
      </c>
      <c r="E442" s="1" t="s">
        <v>42</v>
      </c>
      <c r="F442" s="2" t="s">
        <v>2505</v>
      </c>
      <c r="G442" s="2" t="s">
        <v>19</v>
      </c>
      <c r="H442" s="2" t="s">
        <v>141</v>
      </c>
      <c r="I442" s="1" t="s">
        <v>34</v>
      </c>
      <c r="J442" s="1" t="s">
        <v>56</v>
      </c>
      <c r="K442" s="1" t="s">
        <v>121</v>
      </c>
      <c r="L442" s="1" t="s">
        <v>24</v>
      </c>
      <c r="M442" s="2" t="s">
        <v>2506</v>
      </c>
    </row>
    <row r="443">
      <c r="A443" s="1" t="s">
        <v>2507</v>
      </c>
      <c r="B443" s="1" t="s">
        <v>2508</v>
      </c>
      <c r="C443" s="2" t="s">
        <v>2509</v>
      </c>
      <c r="D443" s="2" t="s">
        <v>2510</v>
      </c>
      <c r="E443" s="1" t="s">
        <v>17</v>
      </c>
      <c r="F443" s="2" t="s">
        <v>2511</v>
      </c>
      <c r="G443" s="2" t="s">
        <v>19</v>
      </c>
      <c r="H443" s="2" t="s">
        <v>214</v>
      </c>
      <c r="I443" s="1" t="s">
        <v>21</v>
      </c>
      <c r="J443" s="1" t="s">
        <v>22</v>
      </c>
      <c r="K443" s="1" t="s">
        <v>81</v>
      </c>
      <c r="L443" s="1" t="s">
        <v>46</v>
      </c>
      <c r="M443" s="2" t="s">
        <v>2512</v>
      </c>
    </row>
    <row r="444">
      <c r="A444" s="1" t="s">
        <v>2513</v>
      </c>
      <c r="B444" s="1" t="s">
        <v>2514</v>
      </c>
      <c r="C444" s="2" t="s">
        <v>522</v>
      </c>
      <c r="D444" s="2" t="s">
        <v>2515</v>
      </c>
      <c r="E444" s="1" t="s">
        <v>30</v>
      </c>
      <c r="F444" s="2" t="s">
        <v>2516</v>
      </c>
      <c r="G444" s="2" t="s">
        <v>32</v>
      </c>
      <c r="H444" s="2" t="s">
        <v>95</v>
      </c>
      <c r="I444" s="1" t="s">
        <v>21</v>
      </c>
      <c r="J444" s="1" t="s">
        <v>22</v>
      </c>
      <c r="K444" s="1" t="s">
        <v>23</v>
      </c>
      <c r="L444" s="1" t="s">
        <v>46</v>
      </c>
      <c r="M444" s="2" t="s">
        <v>2517</v>
      </c>
    </row>
    <row r="445">
      <c r="A445" s="1" t="s">
        <v>2518</v>
      </c>
      <c r="B445" s="1" t="s">
        <v>2519</v>
      </c>
      <c r="C445" s="2" t="s">
        <v>1084</v>
      </c>
      <c r="D445" s="2" t="s">
        <v>2520</v>
      </c>
      <c r="E445" s="1" t="s">
        <v>42</v>
      </c>
      <c r="F445" s="2" t="s">
        <v>2521</v>
      </c>
      <c r="G445" s="2" t="s">
        <v>44</v>
      </c>
      <c r="H445" s="2" t="s">
        <v>518</v>
      </c>
      <c r="I445" s="1" t="s">
        <v>65</v>
      </c>
      <c r="J445" s="1" t="s">
        <v>73</v>
      </c>
      <c r="K445" s="1" t="s">
        <v>81</v>
      </c>
      <c r="L445" s="1" t="s">
        <v>24</v>
      </c>
      <c r="M445" s="2" t="s">
        <v>2522</v>
      </c>
    </row>
    <row r="446">
      <c r="A446" s="1" t="s">
        <v>2523</v>
      </c>
      <c r="B446" s="1" t="s">
        <v>2524</v>
      </c>
      <c r="C446" s="2" t="s">
        <v>145</v>
      </c>
      <c r="D446" s="2" t="s">
        <v>2525</v>
      </c>
      <c r="E446" s="1" t="s">
        <v>30</v>
      </c>
      <c r="F446" s="2" t="s">
        <v>2526</v>
      </c>
      <c r="G446" s="2" t="s">
        <v>19</v>
      </c>
      <c r="H446" s="2" t="s">
        <v>72</v>
      </c>
      <c r="I446" s="1" t="s">
        <v>34</v>
      </c>
      <c r="J446" s="1" t="s">
        <v>22</v>
      </c>
      <c r="K446" s="1" t="s">
        <v>23</v>
      </c>
      <c r="L446" s="1" t="s">
        <v>24</v>
      </c>
      <c r="M446" s="2" t="s">
        <v>2527</v>
      </c>
    </row>
    <row r="447">
      <c r="A447" s="1" t="s">
        <v>2528</v>
      </c>
      <c r="B447" s="1" t="s">
        <v>2529</v>
      </c>
      <c r="C447" s="2" t="s">
        <v>361</v>
      </c>
      <c r="D447" s="2" t="s">
        <v>2530</v>
      </c>
      <c r="E447" s="1" t="s">
        <v>52</v>
      </c>
      <c r="F447" s="2" t="s">
        <v>2531</v>
      </c>
      <c r="G447" s="2" t="s">
        <v>19</v>
      </c>
      <c r="H447" s="2" t="s">
        <v>194</v>
      </c>
      <c r="I447" s="1" t="s">
        <v>65</v>
      </c>
      <c r="J447" s="1" t="s">
        <v>45</v>
      </c>
      <c r="K447" s="1" t="s">
        <v>121</v>
      </c>
      <c r="L447" s="1" t="s">
        <v>36</v>
      </c>
      <c r="M447" s="2" t="s">
        <v>2532</v>
      </c>
    </row>
    <row r="448">
      <c r="A448" s="1" t="s">
        <v>2533</v>
      </c>
      <c r="B448" s="1" t="s">
        <v>2534</v>
      </c>
      <c r="C448" s="2" t="s">
        <v>1378</v>
      </c>
      <c r="D448" s="2" t="s">
        <v>2535</v>
      </c>
      <c r="E448" s="1" t="s">
        <v>200</v>
      </c>
      <c r="F448" s="2" t="s">
        <v>2536</v>
      </c>
      <c r="G448" s="2" t="s">
        <v>32</v>
      </c>
      <c r="H448" s="2" t="s">
        <v>128</v>
      </c>
      <c r="I448" s="1" t="s">
        <v>65</v>
      </c>
      <c r="J448" s="1" t="s">
        <v>56</v>
      </c>
      <c r="K448" s="1" t="s">
        <v>23</v>
      </c>
      <c r="L448" s="1" t="s">
        <v>36</v>
      </c>
      <c r="M448" s="2" t="s">
        <v>2537</v>
      </c>
    </row>
    <row r="449">
      <c r="A449" s="1" t="s">
        <v>2538</v>
      </c>
      <c r="B449" s="1" t="s">
        <v>2539</v>
      </c>
      <c r="C449" s="2" t="s">
        <v>1207</v>
      </c>
      <c r="D449" s="2" t="s">
        <v>2540</v>
      </c>
      <c r="E449" s="1" t="s">
        <v>30</v>
      </c>
      <c r="F449" s="2" t="s">
        <v>2541</v>
      </c>
      <c r="G449" s="2" t="s">
        <v>44</v>
      </c>
      <c r="H449" s="2" t="s">
        <v>483</v>
      </c>
      <c r="I449" s="1" t="s">
        <v>65</v>
      </c>
      <c r="J449" s="1" t="s">
        <v>45</v>
      </c>
      <c r="K449" s="1" t="s">
        <v>35</v>
      </c>
      <c r="L449" s="1" t="s">
        <v>46</v>
      </c>
      <c r="M449" s="2" t="s">
        <v>2542</v>
      </c>
    </row>
    <row r="450">
      <c r="A450" s="1" t="s">
        <v>2543</v>
      </c>
      <c r="B450" s="1" t="s">
        <v>2544</v>
      </c>
      <c r="C450" s="2" t="s">
        <v>2545</v>
      </c>
      <c r="D450" s="2" t="s">
        <v>2546</v>
      </c>
      <c r="E450" s="1" t="s">
        <v>30</v>
      </c>
      <c r="F450" s="2" t="s">
        <v>2547</v>
      </c>
      <c r="G450" s="2" t="s">
        <v>44</v>
      </c>
      <c r="H450" s="2" t="s">
        <v>483</v>
      </c>
      <c r="I450" s="1" t="s">
        <v>55</v>
      </c>
      <c r="J450" s="1" t="s">
        <v>73</v>
      </c>
      <c r="K450" s="1" t="s">
        <v>121</v>
      </c>
      <c r="L450" s="1" t="s">
        <v>24</v>
      </c>
      <c r="M450" s="2" t="s">
        <v>2548</v>
      </c>
    </row>
    <row r="451">
      <c r="A451" s="1" t="s">
        <v>2549</v>
      </c>
      <c r="B451" s="1" t="s">
        <v>2550</v>
      </c>
      <c r="C451" s="2" t="s">
        <v>118</v>
      </c>
      <c r="D451" s="2" t="s">
        <v>2551</v>
      </c>
      <c r="E451" s="1" t="s">
        <v>30</v>
      </c>
      <c r="F451" s="2" t="s">
        <v>2552</v>
      </c>
      <c r="G451" s="2" t="s">
        <v>32</v>
      </c>
      <c r="H451" s="2" t="s">
        <v>128</v>
      </c>
      <c r="I451" s="1" t="s">
        <v>65</v>
      </c>
      <c r="J451" s="1" t="s">
        <v>73</v>
      </c>
      <c r="K451" s="1" t="s">
        <v>88</v>
      </c>
      <c r="L451" s="1" t="s">
        <v>24</v>
      </c>
      <c r="M451" s="2" t="s">
        <v>2553</v>
      </c>
    </row>
    <row r="452">
      <c r="A452" s="1" t="s">
        <v>2554</v>
      </c>
      <c r="B452" s="1" t="s">
        <v>2555</v>
      </c>
      <c r="C452" s="2" t="s">
        <v>2556</v>
      </c>
      <c r="D452" s="2" t="s">
        <v>2557</v>
      </c>
      <c r="E452" s="1" t="s">
        <v>200</v>
      </c>
      <c r="F452" s="2" t="s">
        <v>2558</v>
      </c>
      <c r="G452" s="2" t="s">
        <v>19</v>
      </c>
      <c r="H452" s="2" t="s">
        <v>95</v>
      </c>
      <c r="I452" s="1" t="s">
        <v>21</v>
      </c>
      <c r="J452" s="1" t="s">
        <v>22</v>
      </c>
      <c r="K452" s="1" t="s">
        <v>88</v>
      </c>
      <c r="L452" s="1" t="s">
        <v>46</v>
      </c>
      <c r="M452" s="2" t="s">
        <v>2559</v>
      </c>
    </row>
    <row r="453">
      <c r="A453" s="1" t="s">
        <v>2560</v>
      </c>
      <c r="B453" s="1" t="s">
        <v>2561</v>
      </c>
      <c r="C453" s="2" t="s">
        <v>2562</v>
      </c>
      <c r="D453" s="2" t="s">
        <v>2563</v>
      </c>
      <c r="E453" s="1" t="s">
        <v>17</v>
      </c>
      <c r="F453" s="2" t="s">
        <v>2564</v>
      </c>
      <c r="G453" s="2" t="s">
        <v>63</v>
      </c>
      <c r="H453" s="2" t="s">
        <v>33</v>
      </c>
      <c r="I453" s="1" t="s">
        <v>34</v>
      </c>
      <c r="J453" s="1" t="s">
        <v>45</v>
      </c>
      <c r="K453" s="1" t="s">
        <v>35</v>
      </c>
      <c r="L453" s="1" t="s">
        <v>46</v>
      </c>
      <c r="M453" s="2" t="s">
        <v>2565</v>
      </c>
    </row>
    <row r="454">
      <c r="A454" s="1" t="s">
        <v>2566</v>
      </c>
      <c r="B454" s="1" t="s">
        <v>2567</v>
      </c>
      <c r="C454" s="2" t="s">
        <v>2568</v>
      </c>
      <c r="D454" s="2" t="s">
        <v>2569</v>
      </c>
      <c r="E454" s="1" t="s">
        <v>30</v>
      </c>
      <c r="F454" s="2" t="s">
        <v>2570</v>
      </c>
      <c r="G454" s="2" t="s">
        <v>32</v>
      </c>
      <c r="H454" s="2" t="s">
        <v>54</v>
      </c>
      <c r="I454" s="1" t="s">
        <v>55</v>
      </c>
      <c r="J454" s="1" t="s">
        <v>45</v>
      </c>
      <c r="K454" s="1" t="s">
        <v>88</v>
      </c>
      <c r="L454" s="1" t="s">
        <v>24</v>
      </c>
      <c r="M454" s="2" t="s">
        <v>2571</v>
      </c>
    </row>
    <row r="455">
      <c r="A455" s="1" t="s">
        <v>2572</v>
      </c>
      <c r="B455" s="1" t="s">
        <v>2573</v>
      </c>
      <c r="C455" s="2" t="s">
        <v>903</v>
      </c>
      <c r="D455" s="2" t="s">
        <v>2574</v>
      </c>
      <c r="E455" s="1" t="s">
        <v>17</v>
      </c>
      <c r="F455" s="2" t="s">
        <v>2575</v>
      </c>
      <c r="G455" s="2" t="s">
        <v>32</v>
      </c>
      <c r="H455" s="2" t="s">
        <v>518</v>
      </c>
      <c r="I455" s="1" t="s">
        <v>34</v>
      </c>
      <c r="J455" s="1" t="s">
        <v>45</v>
      </c>
      <c r="K455" s="1" t="s">
        <v>81</v>
      </c>
      <c r="L455" s="1" t="s">
        <v>36</v>
      </c>
      <c r="M455" s="2" t="s">
        <v>2576</v>
      </c>
    </row>
    <row r="456">
      <c r="A456" s="1" t="s">
        <v>2577</v>
      </c>
      <c r="B456" s="1" t="s">
        <v>2578</v>
      </c>
      <c r="C456" s="2" t="s">
        <v>914</v>
      </c>
      <c r="D456" s="2" t="s">
        <v>2579</v>
      </c>
      <c r="E456" s="1" t="s">
        <v>17</v>
      </c>
      <c r="F456" s="2" t="s">
        <v>2580</v>
      </c>
      <c r="G456" s="2" t="s">
        <v>44</v>
      </c>
      <c r="H456" s="2" t="s">
        <v>345</v>
      </c>
      <c r="I456" s="1" t="s">
        <v>34</v>
      </c>
      <c r="J456" s="1" t="s">
        <v>56</v>
      </c>
      <c r="K456" s="1" t="s">
        <v>81</v>
      </c>
      <c r="L456" s="1" t="s">
        <v>36</v>
      </c>
      <c r="M456" s="2" t="s">
        <v>2581</v>
      </c>
    </row>
    <row r="457">
      <c r="A457" s="1" t="s">
        <v>2582</v>
      </c>
      <c r="B457" s="1" t="s">
        <v>2583</v>
      </c>
      <c r="C457" s="2" t="s">
        <v>1558</v>
      </c>
      <c r="D457" s="2" t="s">
        <v>2584</v>
      </c>
      <c r="E457" s="1" t="s">
        <v>30</v>
      </c>
      <c r="F457" s="2" t="s">
        <v>2585</v>
      </c>
      <c r="G457" s="2" t="s">
        <v>32</v>
      </c>
      <c r="H457" s="2" t="s">
        <v>326</v>
      </c>
      <c r="I457" s="1" t="s">
        <v>21</v>
      </c>
      <c r="J457" s="1" t="s">
        <v>22</v>
      </c>
      <c r="K457" s="1" t="s">
        <v>88</v>
      </c>
      <c r="L457" s="1" t="s">
        <v>36</v>
      </c>
      <c r="M457" s="2" t="s">
        <v>2586</v>
      </c>
    </row>
    <row r="458">
      <c r="A458" s="1" t="s">
        <v>2587</v>
      </c>
      <c r="B458" s="1" t="s">
        <v>2588</v>
      </c>
      <c r="C458" s="2" t="s">
        <v>1944</v>
      </c>
      <c r="D458" s="2" t="s">
        <v>2589</v>
      </c>
      <c r="E458" s="1" t="s">
        <v>17</v>
      </c>
      <c r="F458" s="2" t="s">
        <v>2590</v>
      </c>
      <c r="G458" s="2" t="s">
        <v>63</v>
      </c>
      <c r="H458" s="2" t="s">
        <v>114</v>
      </c>
      <c r="I458" s="1" t="s">
        <v>55</v>
      </c>
      <c r="J458" s="1" t="s">
        <v>45</v>
      </c>
      <c r="K458" s="1" t="s">
        <v>121</v>
      </c>
      <c r="L458" s="1" t="s">
        <v>24</v>
      </c>
      <c r="M458" s="2" t="s">
        <v>2591</v>
      </c>
    </row>
    <row r="459">
      <c r="A459" s="1" t="s">
        <v>2592</v>
      </c>
      <c r="B459" s="1" t="s">
        <v>2593</v>
      </c>
      <c r="C459" s="2" t="s">
        <v>499</v>
      </c>
      <c r="D459" s="2" t="s">
        <v>2594</v>
      </c>
      <c r="E459" s="1" t="s">
        <v>42</v>
      </c>
      <c r="F459" s="2" t="s">
        <v>2595</v>
      </c>
      <c r="G459" s="2" t="s">
        <v>32</v>
      </c>
      <c r="H459" s="2" t="s">
        <v>114</v>
      </c>
      <c r="I459" s="1" t="s">
        <v>65</v>
      </c>
      <c r="J459" s="1" t="s">
        <v>22</v>
      </c>
      <c r="K459" s="1" t="s">
        <v>121</v>
      </c>
      <c r="L459" s="1" t="s">
        <v>46</v>
      </c>
      <c r="M459" s="2" t="s">
        <v>2596</v>
      </c>
    </row>
    <row r="460">
      <c r="A460" s="1" t="s">
        <v>2597</v>
      </c>
      <c r="B460" s="1" t="s">
        <v>2598</v>
      </c>
      <c r="C460" s="2" t="s">
        <v>2599</v>
      </c>
      <c r="D460" s="2" t="s">
        <v>2600</v>
      </c>
      <c r="E460" s="1" t="s">
        <v>30</v>
      </c>
      <c r="F460" s="2" t="s">
        <v>2601</v>
      </c>
      <c r="G460" s="2" t="s">
        <v>32</v>
      </c>
      <c r="H460" s="2" t="s">
        <v>33</v>
      </c>
      <c r="I460" s="1" t="s">
        <v>55</v>
      </c>
      <c r="J460" s="1" t="s">
        <v>73</v>
      </c>
      <c r="K460" s="1" t="s">
        <v>23</v>
      </c>
      <c r="L460" s="1" t="s">
        <v>36</v>
      </c>
      <c r="M460" s="2" t="s">
        <v>2602</v>
      </c>
    </row>
    <row r="461">
      <c r="A461" s="1" t="s">
        <v>2603</v>
      </c>
      <c r="B461" s="1" t="s">
        <v>2604</v>
      </c>
      <c r="C461" s="2" t="s">
        <v>2605</v>
      </c>
      <c r="D461" s="2" t="s">
        <v>2606</v>
      </c>
      <c r="E461" s="1" t="s">
        <v>200</v>
      </c>
      <c r="F461" s="2" t="s">
        <v>2607</v>
      </c>
      <c r="G461" s="2" t="s">
        <v>44</v>
      </c>
      <c r="H461" s="2" t="s">
        <v>345</v>
      </c>
      <c r="I461" s="1" t="s">
        <v>65</v>
      </c>
      <c r="J461" s="1" t="s">
        <v>73</v>
      </c>
      <c r="K461" s="1" t="s">
        <v>35</v>
      </c>
      <c r="L461" s="1" t="s">
        <v>24</v>
      </c>
      <c r="M461" s="2" t="s">
        <v>2608</v>
      </c>
    </row>
    <row r="462">
      <c r="A462" s="1" t="s">
        <v>2609</v>
      </c>
      <c r="B462" s="1" t="s">
        <v>2610</v>
      </c>
      <c r="C462" s="2" t="s">
        <v>960</v>
      </c>
      <c r="D462" s="2" t="s">
        <v>2611</v>
      </c>
      <c r="E462" s="1" t="s">
        <v>30</v>
      </c>
      <c r="F462" s="2" t="s">
        <v>2612</v>
      </c>
      <c r="G462" s="2" t="s">
        <v>63</v>
      </c>
      <c r="H462" s="2" t="s">
        <v>33</v>
      </c>
      <c r="I462" s="1" t="s">
        <v>34</v>
      </c>
      <c r="J462" s="1" t="s">
        <v>56</v>
      </c>
      <c r="K462" s="1" t="s">
        <v>88</v>
      </c>
      <c r="L462" s="1" t="s">
        <v>36</v>
      </c>
      <c r="M462" s="2" t="s">
        <v>2613</v>
      </c>
    </row>
    <row r="463">
      <c r="A463" s="1" t="s">
        <v>2614</v>
      </c>
      <c r="B463" s="1" t="s">
        <v>2615</v>
      </c>
      <c r="C463" s="2" t="s">
        <v>668</v>
      </c>
      <c r="D463" s="2" t="s">
        <v>2616</v>
      </c>
      <c r="E463" s="1" t="s">
        <v>42</v>
      </c>
      <c r="F463" s="2" t="s">
        <v>2617</v>
      </c>
      <c r="G463" s="2" t="s">
        <v>63</v>
      </c>
      <c r="H463" s="2" t="s">
        <v>326</v>
      </c>
      <c r="I463" s="1" t="s">
        <v>65</v>
      </c>
      <c r="J463" s="1" t="s">
        <v>22</v>
      </c>
      <c r="K463" s="1" t="s">
        <v>88</v>
      </c>
      <c r="L463" s="1" t="s">
        <v>24</v>
      </c>
      <c r="M463" s="2" t="s">
        <v>2618</v>
      </c>
    </row>
    <row r="464">
      <c r="A464" s="1" t="s">
        <v>2619</v>
      </c>
      <c r="B464" s="1" t="s">
        <v>2620</v>
      </c>
      <c r="C464" s="2" t="s">
        <v>230</v>
      </c>
      <c r="D464" s="2" t="s">
        <v>2621</v>
      </c>
      <c r="E464" s="1" t="s">
        <v>30</v>
      </c>
      <c r="F464" s="2" t="s">
        <v>2622</v>
      </c>
      <c r="G464" s="2" t="s">
        <v>19</v>
      </c>
      <c r="H464" s="2" t="s">
        <v>141</v>
      </c>
      <c r="I464" s="1" t="s">
        <v>34</v>
      </c>
      <c r="J464" s="1" t="s">
        <v>73</v>
      </c>
      <c r="K464" s="1" t="s">
        <v>23</v>
      </c>
      <c r="L464" s="1" t="s">
        <v>36</v>
      </c>
      <c r="M464" s="2" t="s">
        <v>2623</v>
      </c>
    </row>
    <row r="465">
      <c r="A465" s="1" t="s">
        <v>2624</v>
      </c>
      <c r="B465" s="1" t="s">
        <v>2625</v>
      </c>
      <c r="C465" s="2" t="s">
        <v>1977</v>
      </c>
      <c r="D465" s="2" t="s">
        <v>2626</v>
      </c>
      <c r="E465" s="1" t="s">
        <v>42</v>
      </c>
      <c r="F465" s="2" t="s">
        <v>2627</v>
      </c>
      <c r="G465" s="2" t="s">
        <v>44</v>
      </c>
      <c r="H465" s="2" t="s">
        <v>95</v>
      </c>
      <c r="I465" s="1" t="s">
        <v>21</v>
      </c>
      <c r="J465" s="1" t="s">
        <v>73</v>
      </c>
      <c r="K465" s="1" t="s">
        <v>35</v>
      </c>
      <c r="L465" s="1" t="s">
        <v>24</v>
      </c>
      <c r="M465" s="2" t="s">
        <v>2628</v>
      </c>
    </row>
    <row r="466">
      <c r="A466" s="1" t="s">
        <v>2629</v>
      </c>
      <c r="B466" s="1" t="s">
        <v>2630</v>
      </c>
      <c r="C466" s="2" t="s">
        <v>892</v>
      </c>
      <c r="D466" s="2" t="s">
        <v>2631</v>
      </c>
      <c r="E466" s="1" t="s">
        <v>30</v>
      </c>
      <c r="F466" s="2" t="s">
        <v>2632</v>
      </c>
      <c r="G466" s="2" t="s">
        <v>63</v>
      </c>
      <c r="H466" s="2" t="s">
        <v>54</v>
      </c>
      <c r="I466" s="1" t="s">
        <v>34</v>
      </c>
      <c r="J466" s="1" t="s">
        <v>56</v>
      </c>
      <c r="K466" s="1" t="s">
        <v>121</v>
      </c>
      <c r="L466" s="1" t="s">
        <v>24</v>
      </c>
      <c r="M466" s="2" t="s">
        <v>2633</v>
      </c>
    </row>
    <row r="467">
      <c r="A467" s="1" t="s">
        <v>2634</v>
      </c>
      <c r="B467" s="1" t="s">
        <v>2635</v>
      </c>
      <c r="C467" s="2" t="s">
        <v>622</v>
      </c>
      <c r="D467" s="2" t="s">
        <v>2636</v>
      </c>
      <c r="E467" s="1" t="s">
        <v>200</v>
      </c>
      <c r="F467" s="2" t="s">
        <v>2637</v>
      </c>
      <c r="G467" s="2" t="s">
        <v>63</v>
      </c>
      <c r="H467" s="2" t="s">
        <v>345</v>
      </c>
      <c r="I467" s="1" t="s">
        <v>34</v>
      </c>
      <c r="J467" s="1" t="s">
        <v>22</v>
      </c>
      <c r="K467" s="1" t="s">
        <v>121</v>
      </c>
      <c r="L467" s="1" t="s">
        <v>24</v>
      </c>
      <c r="M467" s="2" t="s">
        <v>2638</v>
      </c>
    </row>
    <row r="468">
      <c r="A468" s="1" t="s">
        <v>2639</v>
      </c>
      <c r="B468" s="1" t="s">
        <v>2640</v>
      </c>
      <c r="C468" s="2" t="s">
        <v>205</v>
      </c>
      <c r="D468" s="2" t="s">
        <v>2641</v>
      </c>
      <c r="E468" s="1" t="s">
        <v>200</v>
      </c>
      <c r="F468" s="2" t="s">
        <v>2642</v>
      </c>
      <c r="G468" s="2" t="s">
        <v>32</v>
      </c>
      <c r="H468" s="2" t="s">
        <v>326</v>
      </c>
      <c r="I468" s="1" t="s">
        <v>65</v>
      </c>
      <c r="J468" s="1" t="s">
        <v>45</v>
      </c>
      <c r="K468" s="1" t="s">
        <v>88</v>
      </c>
      <c r="L468" s="1" t="s">
        <v>24</v>
      </c>
      <c r="M468" s="2" t="s">
        <v>2643</v>
      </c>
    </row>
    <row r="469">
      <c r="A469" s="1" t="s">
        <v>2644</v>
      </c>
      <c r="B469" s="1" t="s">
        <v>2645</v>
      </c>
      <c r="C469" s="2" t="s">
        <v>2646</v>
      </c>
      <c r="D469" s="2" t="s">
        <v>2647</v>
      </c>
      <c r="E469" s="1" t="s">
        <v>17</v>
      </c>
      <c r="F469" s="2" t="s">
        <v>2648</v>
      </c>
      <c r="G469" s="2" t="s">
        <v>19</v>
      </c>
      <c r="H469" s="2" t="s">
        <v>114</v>
      </c>
      <c r="I469" s="1" t="s">
        <v>34</v>
      </c>
      <c r="J469" s="1" t="s">
        <v>22</v>
      </c>
      <c r="K469" s="1" t="s">
        <v>121</v>
      </c>
      <c r="L469" s="1" t="s">
        <v>36</v>
      </c>
      <c r="M469" s="2" t="s">
        <v>2649</v>
      </c>
    </row>
    <row r="470">
      <c r="A470" s="1" t="s">
        <v>2650</v>
      </c>
      <c r="B470" s="1" t="s">
        <v>2651</v>
      </c>
      <c r="C470" s="2" t="s">
        <v>1640</v>
      </c>
      <c r="D470" s="2" t="s">
        <v>2652</v>
      </c>
      <c r="E470" s="1" t="s">
        <v>42</v>
      </c>
      <c r="F470" s="2" t="s">
        <v>2653</v>
      </c>
      <c r="G470" s="2" t="s">
        <v>44</v>
      </c>
      <c r="H470" s="2" t="s">
        <v>194</v>
      </c>
      <c r="I470" s="1" t="s">
        <v>55</v>
      </c>
      <c r="J470" s="1" t="s">
        <v>56</v>
      </c>
      <c r="K470" s="1" t="s">
        <v>81</v>
      </c>
      <c r="L470" s="1" t="s">
        <v>24</v>
      </c>
      <c r="M470" s="2" t="s">
        <v>2654</v>
      </c>
    </row>
    <row r="471">
      <c r="A471" s="1" t="s">
        <v>2655</v>
      </c>
      <c r="B471" s="1" t="s">
        <v>2656</v>
      </c>
      <c r="C471" s="2" t="s">
        <v>1977</v>
      </c>
      <c r="D471" s="2" t="s">
        <v>2657</v>
      </c>
      <c r="E471" s="1" t="s">
        <v>17</v>
      </c>
      <c r="F471" s="2" t="s">
        <v>2658</v>
      </c>
      <c r="G471" s="2" t="s">
        <v>63</v>
      </c>
      <c r="H471" s="2" t="s">
        <v>54</v>
      </c>
      <c r="I471" s="1" t="s">
        <v>34</v>
      </c>
      <c r="J471" s="1" t="s">
        <v>56</v>
      </c>
      <c r="K471" s="1" t="s">
        <v>88</v>
      </c>
      <c r="L471" s="1" t="s">
        <v>36</v>
      </c>
      <c r="M471" s="2" t="s">
        <v>2659</v>
      </c>
    </row>
    <row r="472">
      <c r="A472" s="1" t="s">
        <v>2660</v>
      </c>
      <c r="B472" s="1" t="s">
        <v>2661</v>
      </c>
      <c r="C472" s="2" t="s">
        <v>77</v>
      </c>
      <c r="D472" s="2" t="s">
        <v>2662</v>
      </c>
      <c r="E472" s="1" t="s">
        <v>17</v>
      </c>
      <c r="F472" s="2" t="s">
        <v>2663</v>
      </c>
      <c r="G472" s="2" t="s">
        <v>19</v>
      </c>
      <c r="H472" s="2" t="s">
        <v>80</v>
      </c>
      <c r="I472" s="1" t="s">
        <v>34</v>
      </c>
      <c r="J472" s="1" t="s">
        <v>56</v>
      </c>
      <c r="K472" s="1" t="s">
        <v>88</v>
      </c>
      <c r="L472" s="1" t="s">
        <v>36</v>
      </c>
      <c r="M472" s="2" t="s">
        <v>2664</v>
      </c>
    </row>
    <row r="473">
      <c r="A473" s="1" t="s">
        <v>2665</v>
      </c>
      <c r="B473" s="1" t="s">
        <v>2666</v>
      </c>
      <c r="C473" s="2" t="s">
        <v>2667</v>
      </c>
      <c r="D473" s="2" t="s">
        <v>2668</v>
      </c>
      <c r="E473" s="1" t="s">
        <v>30</v>
      </c>
      <c r="F473" s="2" t="s">
        <v>2669</v>
      </c>
      <c r="G473" s="2" t="s">
        <v>44</v>
      </c>
      <c r="H473" s="2" t="s">
        <v>194</v>
      </c>
      <c r="I473" s="1" t="s">
        <v>65</v>
      </c>
      <c r="J473" s="1" t="s">
        <v>22</v>
      </c>
      <c r="K473" s="1" t="s">
        <v>23</v>
      </c>
      <c r="L473" s="1" t="s">
        <v>36</v>
      </c>
      <c r="M473" s="2" t="s">
        <v>2670</v>
      </c>
    </row>
    <row r="474">
      <c r="A474" s="1" t="s">
        <v>2671</v>
      </c>
      <c r="B474" s="1" t="s">
        <v>2672</v>
      </c>
      <c r="C474" s="2" t="s">
        <v>2673</v>
      </c>
      <c r="D474" s="2" t="s">
        <v>2674</v>
      </c>
      <c r="E474" s="1" t="s">
        <v>42</v>
      </c>
      <c r="F474" s="2" t="s">
        <v>2675</v>
      </c>
      <c r="G474" s="2" t="s">
        <v>32</v>
      </c>
      <c r="H474" s="2" t="s">
        <v>345</v>
      </c>
      <c r="I474" s="1" t="s">
        <v>21</v>
      </c>
      <c r="J474" s="1" t="s">
        <v>73</v>
      </c>
      <c r="K474" s="1" t="s">
        <v>35</v>
      </c>
      <c r="L474" s="1" t="s">
        <v>36</v>
      </c>
      <c r="M474" s="2" t="s">
        <v>2676</v>
      </c>
    </row>
    <row r="475">
      <c r="A475" s="1" t="s">
        <v>2677</v>
      </c>
      <c r="B475" s="1" t="s">
        <v>2678</v>
      </c>
      <c r="C475" s="2" t="s">
        <v>60</v>
      </c>
      <c r="D475" s="2" t="s">
        <v>2679</v>
      </c>
      <c r="E475" s="1" t="s">
        <v>52</v>
      </c>
      <c r="F475" s="2" t="s">
        <v>2680</v>
      </c>
      <c r="G475" s="2" t="s">
        <v>63</v>
      </c>
      <c r="H475" s="2" t="s">
        <v>64</v>
      </c>
      <c r="I475" s="1" t="s">
        <v>21</v>
      </c>
      <c r="J475" s="1" t="s">
        <v>56</v>
      </c>
      <c r="K475" s="1" t="s">
        <v>121</v>
      </c>
      <c r="L475" s="1" t="s">
        <v>36</v>
      </c>
      <c r="M475" s="2" t="s">
        <v>2681</v>
      </c>
    </row>
    <row r="476">
      <c r="A476" s="1" t="s">
        <v>2682</v>
      </c>
      <c r="B476" s="1" t="s">
        <v>2683</v>
      </c>
      <c r="C476" s="2" t="s">
        <v>2684</v>
      </c>
      <c r="D476" s="2" t="s">
        <v>2685</v>
      </c>
      <c r="E476" s="1" t="s">
        <v>200</v>
      </c>
      <c r="F476" s="2" t="s">
        <v>2686</v>
      </c>
      <c r="G476" s="2" t="s">
        <v>19</v>
      </c>
      <c r="H476" s="2" t="s">
        <v>54</v>
      </c>
      <c r="I476" s="1" t="s">
        <v>21</v>
      </c>
      <c r="J476" s="1" t="s">
        <v>45</v>
      </c>
      <c r="K476" s="1" t="s">
        <v>23</v>
      </c>
      <c r="L476" s="1" t="s">
        <v>46</v>
      </c>
      <c r="M476" s="2" t="s">
        <v>2687</v>
      </c>
    </row>
    <row r="477">
      <c r="A477" s="1" t="s">
        <v>2688</v>
      </c>
      <c r="B477" s="1" t="s">
        <v>2689</v>
      </c>
      <c r="C477" s="2" t="s">
        <v>1640</v>
      </c>
      <c r="D477" s="2" t="s">
        <v>2690</v>
      </c>
      <c r="E477" s="1" t="s">
        <v>17</v>
      </c>
      <c r="F477" s="2" t="s">
        <v>2691</v>
      </c>
      <c r="G477" s="2" t="s">
        <v>44</v>
      </c>
      <c r="H477" s="2" t="s">
        <v>54</v>
      </c>
      <c r="I477" s="1" t="s">
        <v>55</v>
      </c>
      <c r="J477" s="1" t="s">
        <v>73</v>
      </c>
      <c r="K477" s="1" t="s">
        <v>81</v>
      </c>
      <c r="L477" s="1" t="s">
        <v>24</v>
      </c>
      <c r="M477" s="2" t="s">
        <v>2692</v>
      </c>
    </row>
    <row r="478">
      <c r="A478" s="1" t="s">
        <v>2693</v>
      </c>
      <c r="B478" s="1" t="s">
        <v>2694</v>
      </c>
      <c r="C478" s="2" t="s">
        <v>1118</v>
      </c>
      <c r="D478" s="2" t="s">
        <v>2695</v>
      </c>
      <c r="E478" s="1" t="s">
        <v>17</v>
      </c>
      <c r="F478" s="2" t="s">
        <v>2696</v>
      </c>
      <c r="G478" s="2" t="s">
        <v>63</v>
      </c>
      <c r="H478" s="2" t="s">
        <v>194</v>
      </c>
      <c r="I478" s="1" t="s">
        <v>34</v>
      </c>
      <c r="J478" s="1" t="s">
        <v>73</v>
      </c>
      <c r="K478" s="1" t="s">
        <v>23</v>
      </c>
      <c r="L478" s="1" t="s">
        <v>24</v>
      </c>
      <c r="M478" s="2" t="s">
        <v>2697</v>
      </c>
    </row>
    <row r="479">
      <c r="A479" s="1" t="s">
        <v>2698</v>
      </c>
      <c r="B479" s="1" t="s">
        <v>2699</v>
      </c>
      <c r="C479" s="2" t="s">
        <v>1067</v>
      </c>
      <c r="D479" s="2" t="s">
        <v>2700</v>
      </c>
      <c r="E479" s="1" t="s">
        <v>30</v>
      </c>
      <c r="F479" s="2" t="s">
        <v>2701</v>
      </c>
      <c r="G479" s="2" t="s">
        <v>44</v>
      </c>
      <c r="H479" s="2" t="s">
        <v>326</v>
      </c>
      <c r="I479" s="1" t="s">
        <v>55</v>
      </c>
      <c r="J479" s="1" t="s">
        <v>73</v>
      </c>
      <c r="K479" s="1" t="s">
        <v>81</v>
      </c>
      <c r="L479" s="1" t="s">
        <v>46</v>
      </c>
      <c r="M479" s="2" t="s">
        <v>2702</v>
      </c>
    </row>
    <row r="480">
      <c r="A480" s="1" t="s">
        <v>2703</v>
      </c>
      <c r="B480" s="1" t="s">
        <v>2704</v>
      </c>
      <c r="C480" s="2" t="s">
        <v>1189</v>
      </c>
      <c r="D480" s="2" t="s">
        <v>2705</v>
      </c>
      <c r="E480" s="1" t="s">
        <v>30</v>
      </c>
      <c r="F480" s="2" t="s">
        <v>2706</v>
      </c>
      <c r="G480" s="2" t="s">
        <v>32</v>
      </c>
      <c r="H480" s="2" t="s">
        <v>64</v>
      </c>
      <c r="I480" s="1" t="s">
        <v>34</v>
      </c>
      <c r="J480" s="1" t="s">
        <v>56</v>
      </c>
      <c r="K480" s="1" t="s">
        <v>121</v>
      </c>
      <c r="L480" s="1" t="s">
        <v>36</v>
      </c>
      <c r="M480" s="2" t="s">
        <v>2707</v>
      </c>
    </row>
    <row r="481">
      <c r="A481" s="1" t="s">
        <v>2708</v>
      </c>
      <c r="B481" s="1" t="s">
        <v>2709</v>
      </c>
      <c r="C481" s="2" t="s">
        <v>628</v>
      </c>
      <c r="D481" s="2" t="s">
        <v>2710</v>
      </c>
      <c r="E481" s="1" t="s">
        <v>42</v>
      </c>
      <c r="F481" s="2" t="s">
        <v>2711</v>
      </c>
      <c r="G481" s="2" t="s">
        <v>32</v>
      </c>
      <c r="H481" s="2" t="s">
        <v>194</v>
      </c>
      <c r="I481" s="1" t="s">
        <v>65</v>
      </c>
      <c r="J481" s="1" t="s">
        <v>56</v>
      </c>
      <c r="K481" s="1" t="s">
        <v>88</v>
      </c>
      <c r="L481" s="1" t="s">
        <v>46</v>
      </c>
      <c r="M481" s="2" t="s">
        <v>2712</v>
      </c>
    </row>
    <row r="482">
      <c r="A482" s="1" t="s">
        <v>2713</v>
      </c>
      <c r="B482" s="1" t="s">
        <v>2714</v>
      </c>
      <c r="C482" s="2" t="s">
        <v>1479</v>
      </c>
      <c r="D482" s="2" t="s">
        <v>2715</v>
      </c>
      <c r="E482" s="1" t="s">
        <v>52</v>
      </c>
      <c r="F482" s="2" t="s">
        <v>193</v>
      </c>
      <c r="G482" s="2" t="s">
        <v>19</v>
      </c>
      <c r="H482" s="2" t="s">
        <v>326</v>
      </c>
      <c r="I482" s="1" t="s">
        <v>55</v>
      </c>
      <c r="J482" s="1" t="s">
        <v>22</v>
      </c>
      <c r="K482" s="1" t="s">
        <v>121</v>
      </c>
      <c r="L482" s="1" t="s">
        <v>24</v>
      </c>
      <c r="M482" s="2" t="s">
        <v>2716</v>
      </c>
    </row>
    <row r="483">
      <c r="A483" s="1" t="s">
        <v>2717</v>
      </c>
      <c r="B483" s="1" t="s">
        <v>2718</v>
      </c>
      <c r="C483" s="2" t="s">
        <v>1552</v>
      </c>
      <c r="D483" s="2" t="s">
        <v>2719</v>
      </c>
      <c r="E483" s="1" t="s">
        <v>200</v>
      </c>
      <c r="F483" s="2" t="s">
        <v>2720</v>
      </c>
      <c r="G483" s="2" t="s">
        <v>19</v>
      </c>
      <c r="H483" s="2" t="s">
        <v>214</v>
      </c>
      <c r="I483" s="1" t="s">
        <v>34</v>
      </c>
      <c r="J483" s="1" t="s">
        <v>73</v>
      </c>
      <c r="K483" s="1" t="s">
        <v>81</v>
      </c>
      <c r="L483" s="1" t="s">
        <v>36</v>
      </c>
      <c r="M483" s="2" t="s">
        <v>2721</v>
      </c>
    </row>
    <row r="484">
      <c r="A484" s="1" t="s">
        <v>2722</v>
      </c>
      <c r="B484" s="1" t="s">
        <v>2723</v>
      </c>
      <c r="C484" s="2" t="s">
        <v>2724</v>
      </c>
      <c r="D484" s="2" t="s">
        <v>2725</v>
      </c>
      <c r="E484" s="1" t="s">
        <v>42</v>
      </c>
      <c r="F484" s="2" t="s">
        <v>2726</v>
      </c>
      <c r="G484" s="2" t="s">
        <v>63</v>
      </c>
      <c r="H484" s="2" t="s">
        <v>95</v>
      </c>
      <c r="I484" s="1" t="s">
        <v>21</v>
      </c>
      <c r="J484" s="1" t="s">
        <v>22</v>
      </c>
      <c r="K484" s="1" t="s">
        <v>23</v>
      </c>
      <c r="L484" s="1" t="s">
        <v>36</v>
      </c>
      <c r="M484" s="2" t="s">
        <v>2727</v>
      </c>
    </row>
    <row r="485">
      <c r="A485" s="1" t="s">
        <v>2728</v>
      </c>
      <c r="B485" s="1" t="s">
        <v>2729</v>
      </c>
      <c r="C485" s="2" t="s">
        <v>2354</v>
      </c>
      <c r="D485" s="2" t="s">
        <v>2730</v>
      </c>
      <c r="E485" s="1" t="s">
        <v>42</v>
      </c>
      <c r="F485" s="2" t="s">
        <v>2731</v>
      </c>
      <c r="G485" s="2" t="s">
        <v>19</v>
      </c>
      <c r="H485" s="2" t="s">
        <v>518</v>
      </c>
      <c r="I485" s="1" t="s">
        <v>55</v>
      </c>
      <c r="J485" s="1" t="s">
        <v>45</v>
      </c>
      <c r="K485" s="1" t="s">
        <v>35</v>
      </c>
      <c r="L485" s="1" t="s">
        <v>24</v>
      </c>
      <c r="M485" s="2" t="s">
        <v>2732</v>
      </c>
    </row>
    <row r="486">
      <c r="A486" s="1" t="s">
        <v>2733</v>
      </c>
      <c r="B486" s="1" t="s">
        <v>2734</v>
      </c>
      <c r="C486" s="2" t="s">
        <v>1045</v>
      </c>
      <c r="D486" s="2" t="s">
        <v>2735</v>
      </c>
      <c r="E486" s="1" t="s">
        <v>17</v>
      </c>
      <c r="F486" s="2" t="s">
        <v>2736</v>
      </c>
      <c r="G486" s="2" t="s">
        <v>63</v>
      </c>
      <c r="H486" s="2" t="s">
        <v>345</v>
      </c>
      <c r="I486" s="1" t="s">
        <v>34</v>
      </c>
      <c r="J486" s="1" t="s">
        <v>45</v>
      </c>
      <c r="K486" s="1" t="s">
        <v>81</v>
      </c>
      <c r="L486" s="1" t="s">
        <v>36</v>
      </c>
      <c r="M486" s="2" t="s">
        <v>2737</v>
      </c>
    </row>
    <row r="487">
      <c r="A487" s="1" t="s">
        <v>2738</v>
      </c>
      <c r="B487" s="1" t="s">
        <v>2739</v>
      </c>
      <c r="C487" s="2" t="s">
        <v>2740</v>
      </c>
      <c r="D487" s="2" t="s">
        <v>2741</v>
      </c>
      <c r="E487" s="1" t="s">
        <v>17</v>
      </c>
      <c r="F487" s="2" t="s">
        <v>2742</v>
      </c>
      <c r="G487" s="2" t="s">
        <v>44</v>
      </c>
      <c r="H487" s="2" t="s">
        <v>20</v>
      </c>
      <c r="I487" s="1" t="s">
        <v>21</v>
      </c>
      <c r="J487" s="1" t="s">
        <v>73</v>
      </c>
      <c r="K487" s="1" t="s">
        <v>88</v>
      </c>
      <c r="L487" s="1" t="s">
        <v>36</v>
      </c>
      <c r="M487" s="2" t="s">
        <v>2743</v>
      </c>
    </row>
    <row r="488">
      <c r="A488" s="1" t="s">
        <v>2744</v>
      </c>
      <c r="B488" s="1" t="s">
        <v>2745</v>
      </c>
      <c r="C488" s="2" t="s">
        <v>2746</v>
      </c>
      <c r="D488" s="2" t="s">
        <v>2747</v>
      </c>
      <c r="E488" s="1" t="s">
        <v>42</v>
      </c>
      <c r="F488" s="2" t="s">
        <v>2748</v>
      </c>
      <c r="G488" s="2" t="s">
        <v>63</v>
      </c>
      <c r="H488" s="2" t="s">
        <v>214</v>
      </c>
      <c r="I488" s="1" t="s">
        <v>65</v>
      </c>
      <c r="J488" s="1" t="s">
        <v>22</v>
      </c>
      <c r="K488" s="1" t="s">
        <v>88</v>
      </c>
      <c r="L488" s="1" t="s">
        <v>36</v>
      </c>
      <c r="M488" s="2" t="s">
        <v>2749</v>
      </c>
    </row>
    <row r="489">
      <c r="A489" s="1" t="s">
        <v>2750</v>
      </c>
      <c r="B489" s="1" t="s">
        <v>2751</v>
      </c>
      <c r="C489" s="2" t="s">
        <v>674</v>
      </c>
      <c r="D489" s="2" t="s">
        <v>2752</v>
      </c>
      <c r="E489" s="1" t="s">
        <v>200</v>
      </c>
      <c r="F489" s="2" t="s">
        <v>2753</v>
      </c>
      <c r="G489" s="2" t="s">
        <v>32</v>
      </c>
      <c r="H489" s="2" t="s">
        <v>326</v>
      </c>
      <c r="I489" s="1" t="s">
        <v>55</v>
      </c>
      <c r="J489" s="1" t="s">
        <v>73</v>
      </c>
      <c r="K489" s="1" t="s">
        <v>88</v>
      </c>
      <c r="L489" s="1" t="s">
        <v>46</v>
      </c>
      <c r="M489" s="2" t="s">
        <v>2754</v>
      </c>
    </row>
    <row r="490">
      <c r="A490" s="1" t="s">
        <v>2755</v>
      </c>
      <c r="B490" s="1" t="s">
        <v>2756</v>
      </c>
      <c r="C490" s="2" t="s">
        <v>800</v>
      </c>
      <c r="D490" s="2" t="s">
        <v>2757</v>
      </c>
      <c r="E490" s="1" t="s">
        <v>30</v>
      </c>
      <c r="F490" s="2" t="s">
        <v>1607</v>
      </c>
      <c r="G490" s="2" t="s">
        <v>32</v>
      </c>
      <c r="H490" s="2" t="s">
        <v>194</v>
      </c>
      <c r="I490" s="1" t="s">
        <v>21</v>
      </c>
      <c r="J490" s="1" t="s">
        <v>56</v>
      </c>
      <c r="K490" s="1" t="s">
        <v>23</v>
      </c>
      <c r="L490" s="1" t="s">
        <v>24</v>
      </c>
      <c r="M490" s="2" t="s">
        <v>2758</v>
      </c>
    </row>
    <row r="491">
      <c r="A491" s="1" t="s">
        <v>2759</v>
      </c>
      <c r="B491" s="1" t="s">
        <v>2760</v>
      </c>
      <c r="C491" s="2" t="s">
        <v>2761</v>
      </c>
      <c r="D491" s="2" t="s">
        <v>2762</v>
      </c>
      <c r="E491" s="1" t="s">
        <v>30</v>
      </c>
      <c r="F491" s="2" t="s">
        <v>2763</v>
      </c>
      <c r="G491" s="2" t="s">
        <v>19</v>
      </c>
      <c r="H491" s="2" t="s">
        <v>72</v>
      </c>
      <c r="I491" s="1" t="s">
        <v>55</v>
      </c>
      <c r="J491" s="1" t="s">
        <v>45</v>
      </c>
      <c r="K491" s="1" t="s">
        <v>88</v>
      </c>
      <c r="L491" s="1" t="s">
        <v>36</v>
      </c>
      <c r="M491" s="2" t="s">
        <v>2764</v>
      </c>
    </row>
    <row r="492">
      <c r="A492" s="1" t="s">
        <v>2765</v>
      </c>
      <c r="B492" s="1" t="s">
        <v>2766</v>
      </c>
      <c r="C492" s="2" t="s">
        <v>378</v>
      </c>
      <c r="D492" s="2" t="s">
        <v>2767</v>
      </c>
      <c r="E492" s="1" t="s">
        <v>200</v>
      </c>
      <c r="F492" s="2" t="s">
        <v>2768</v>
      </c>
      <c r="G492" s="2" t="s">
        <v>32</v>
      </c>
      <c r="H492" s="2" t="s">
        <v>483</v>
      </c>
      <c r="I492" s="1" t="s">
        <v>65</v>
      </c>
      <c r="J492" s="1" t="s">
        <v>45</v>
      </c>
      <c r="K492" s="1" t="s">
        <v>81</v>
      </c>
      <c r="L492" s="1" t="s">
        <v>24</v>
      </c>
      <c r="M492" s="2" t="s">
        <v>2769</v>
      </c>
    </row>
    <row r="493">
      <c r="A493" s="1" t="s">
        <v>2770</v>
      </c>
      <c r="B493" s="1" t="s">
        <v>2771</v>
      </c>
      <c r="C493" s="2" t="s">
        <v>2772</v>
      </c>
      <c r="D493" s="2" t="s">
        <v>2773</v>
      </c>
      <c r="E493" s="1" t="s">
        <v>42</v>
      </c>
      <c r="F493" s="2" t="s">
        <v>2774</v>
      </c>
      <c r="G493" s="2" t="s">
        <v>63</v>
      </c>
      <c r="H493" s="2" t="s">
        <v>518</v>
      </c>
      <c r="I493" s="1" t="s">
        <v>21</v>
      </c>
      <c r="J493" s="1" t="s">
        <v>73</v>
      </c>
      <c r="K493" s="1" t="s">
        <v>35</v>
      </c>
      <c r="L493" s="1" t="s">
        <v>36</v>
      </c>
      <c r="M493" s="2" t="s">
        <v>2775</v>
      </c>
    </row>
    <row r="494">
      <c r="A494" s="1" t="s">
        <v>2776</v>
      </c>
      <c r="B494" s="1" t="s">
        <v>2777</v>
      </c>
      <c r="C494" s="2" t="s">
        <v>2036</v>
      </c>
      <c r="D494" s="2" t="s">
        <v>2778</v>
      </c>
      <c r="E494" s="1" t="s">
        <v>30</v>
      </c>
      <c r="F494" s="2" t="s">
        <v>2779</v>
      </c>
      <c r="G494" s="2" t="s">
        <v>44</v>
      </c>
      <c r="H494" s="2" t="s">
        <v>345</v>
      </c>
      <c r="I494" s="1" t="s">
        <v>65</v>
      </c>
      <c r="J494" s="1" t="s">
        <v>45</v>
      </c>
      <c r="K494" s="1" t="s">
        <v>88</v>
      </c>
      <c r="L494" s="1" t="s">
        <v>36</v>
      </c>
      <c r="M494" s="2" t="s">
        <v>2780</v>
      </c>
    </row>
    <row r="495">
      <c r="A495" s="1" t="s">
        <v>2781</v>
      </c>
      <c r="B495" s="1" t="s">
        <v>2782</v>
      </c>
      <c r="C495" s="2" t="s">
        <v>914</v>
      </c>
      <c r="D495" s="2" t="s">
        <v>2783</v>
      </c>
      <c r="E495" s="1" t="s">
        <v>200</v>
      </c>
      <c r="F495" s="2" t="s">
        <v>2784</v>
      </c>
      <c r="G495" s="2" t="s">
        <v>32</v>
      </c>
      <c r="H495" s="2" t="s">
        <v>345</v>
      </c>
      <c r="I495" s="1" t="s">
        <v>55</v>
      </c>
      <c r="J495" s="1" t="s">
        <v>22</v>
      </c>
      <c r="K495" s="1" t="s">
        <v>23</v>
      </c>
      <c r="L495" s="1" t="s">
        <v>36</v>
      </c>
      <c r="M495" s="2" t="s">
        <v>2785</v>
      </c>
    </row>
    <row r="496">
      <c r="A496" s="1" t="s">
        <v>2786</v>
      </c>
      <c r="B496" s="1" t="s">
        <v>2787</v>
      </c>
      <c r="C496" s="2" t="s">
        <v>721</v>
      </c>
      <c r="D496" s="2" t="s">
        <v>2788</v>
      </c>
      <c r="E496" s="1" t="s">
        <v>17</v>
      </c>
      <c r="F496" s="2" t="s">
        <v>2789</v>
      </c>
      <c r="G496" s="2" t="s">
        <v>32</v>
      </c>
      <c r="H496" s="2" t="s">
        <v>483</v>
      </c>
      <c r="I496" s="1" t="s">
        <v>21</v>
      </c>
      <c r="J496" s="1" t="s">
        <v>56</v>
      </c>
      <c r="K496" s="1" t="s">
        <v>35</v>
      </c>
      <c r="L496" s="1" t="s">
        <v>36</v>
      </c>
      <c r="M496" s="2" t="s">
        <v>2790</v>
      </c>
    </row>
    <row r="497">
      <c r="A497" s="1" t="s">
        <v>2791</v>
      </c>
      <c r="B497" s="1" t="s">
        <v>2792</v>
      </c>
      <c r="C497" s="2" t="s">
        <v>2108</v>
      </c>
      <c r="D497" s="2" t="s">
        <v>2793</v>
      </c>
      <c r="E497" s="1" t="s">
        <v>17</v>
      </c>
      <c r="F497" s="2" t="s">
        <v>2794</v>
      </c>
      <c r="G497" s="2" t="s">
        <v>63</v>
      </c>
      <c r="H497" s="2" t="s">
        <v>33</v>
      </c>
      <c r="I497" s="1" t="s">
        <v>21</v>
      </c>
      <c r="J497" s="1" t="s">
        <v>56</v>
      </c>
      <c r="K497" s="1" t="s">
        <v>81</v>
      </c>
      <c r="L497" s="1" t="s">
        <v>24</v>
      </c>
      <c r="M497" s="2" t="s">
        <v>2795</v>
      </c>
    </row>
    <row r="498">
      <c r="A498" s="1" t="s">
        <v>2796</v>
      </c>
      <c r="B498" s="1" t="s">
        <v>2797</v>
      </c>
      <c r="C498" s="2" t="s">
        <v>2798</v>
      </c>
      <c r="D498" s="2" t="s">
        <v>2799</v>
      </c>
      <c r="E498" s="1" t="s">
        <v>30</v>
      </c>
      <c r="F498" s="2" t="s">
        <v>2800</v>
      </c>
      <c r="G498" s="2" t="s">
        <v>63</v>
      </c>
      <c r="H498" s="2" t="s">
        <v>72</v>
      </c>
      <c r="I498" s="1" t="s">
        <v>21</v>
      </c>
      <c r="J498" s="1" t="s">
        <v>22</v>
      </c>
      <c r="K498" s="1" t="s">
        <v>35</v>
      </c>
      <c r="L498" s="1" t="s">
        <v>36</v>
      </c>
      <c r="M498" s="2" t="s">
        <v>2801</v>
      </c>
    </row>
    <row r="499">
      <c r="A499" s="1" t="s">
        <v>2802</v>
      </c>
      <c r="B499" s="1" t="s">
        <v>2803</v>
      </c>
      <c r="C499" s="2" t="s">
        <v>2376</v>
      </c>
      <c r="D499" s="2" t="s">
        <v>2804</v>
      </c>
      <c r="E499" s="1" t="s">
        <v>200</v>
      </c>
      <c r="F499" s="2" t="s">
        <v>2805</v>
      </c>
      <c r="G499" s="2" t="s">
        <v>63</v>
      </c>
      <c r="H499" s="2" t="s">
        <v>72</v>
      </c>
      <c r="I499" s="1" t="s">
        <v>65</v>
      </c>
      <c r="J499" s="1" t="s">
        <v>45</v>
      </c>
      <c r="K499" s="1" t="s">
        <v>23</v>
      </c>
      <c r="L499" s="1" t="s">
        <v>36</v>
      </c>
      <c r="M499" s="2" t="s">
        <v>2806</v>
      </c>
    </row>
    <row r="500">
      <c r="A500" s="1" t="s">
        <v>2807</v>
      </c>
      <c r="B500" s="1" t="s">
        <v>2808</v>
      </c>
      <c r="C500" s="2" t="s">
        <v>2030</v>
      </c>
      <c r="D500" s="2" t="s">
        <v>2809</v>
      </c>
      <c r="E500" s="1" t="s">
        <v>200</v>
      </c>
      <c r="F500" s="2" t="s">
        <v>2810</v>
      </c>
      <c r="G500" s="2" t="s">
        <v>63</v>
      </c>
      <c r="H500" s="2" t="s">
        <v>194</v>
      </c>
      <c r="I500" s="1" t="s">
        <v>21</v>
      </c>
      <c r="J500" s="1" t="s">
        <v>73</v>
      </c>
      <c r="K500" s="1" t="s">
        <v>35</v>
      </c>
      <c r="L500" s="1" t="s">
        <v>46</v>
      </c>
      <c r="M500" s="2" t="s">
        <v>2811</v>
      </c>
    </row>
    <row r="501">
      <c r="A501" s="1" t="s">
        <v>2812</v>
      </c>
      <c r="B501" s="1" t="s">
        <v>2813</v>
      </c>
      <c r="C501" s="2" t="s">
        <v>2814</v>
      </c>
      <c r="D501" s="2" t="s">
        <v>2815</v>
      </c>
      <c r="E501" s="1" t="s">
        <v>52</v>
      </c>
      <c r="F501" s="2" t="s">
        <v>2816</v>
      </c>
      <c r="G501" s="2" t="s">
        <v>44</v>
      </c>
      <c r="H501" s="2" t="s">
        <v>114</v>
      </c>
      <c r="I501" s="1" t="s">
        <v>34</v>
      </c>
      <c r="J501" s="1" t="s">
        <v>56</v>
      </c>
      <c r="K501" s="1" t="s">
        <v>121</v>
      </c>
      <c r="L501" s="1" t="s">
        <v>24</v>
      </c>
      <c r="M501" s="2" t="s">
        <v>2817</v>
      </c>
    </row>
    <row r="502">
      <c r="A502" s="1" t="s">
        <v>2818</v>
      </c>
      <c r="B502" s="1" t="s">
        <v>2819</v>
      </c>
      <c r="C502" s="2" t="s">
        <v>305</v>
      </c>
      <c r="D502" s="2" t="s">
        <v>2820</v>
      </c>
      <c r="E502" s="1" t="s">
        <v>200</v>
      </c>
      <c r="F502" s="2" t="s">
        <v>2821</v>
      </c>
      <c r="G502" s="2" t="s">
        <v>63</v>
      </c>
      <c r="H502" s="2" t="s">
        <v>194</v>
      </c>
      <c r="I502" s="1" t="s">
        <v>34</v>
      </c>
      <c r="J502" s="1" t="s">
        <v>45</v>
      </c>
      <c r="K502" s="1" t="s">
        <v>35</v>
      </c>
      <c r="L502" s="1" t="s">
        <v>24</v>
      </c>
      <c r="M502" s="2" t="s">
        <v>2822</v>
      </c>
    </row>
    <row r="503">
      <c r="A503" s="1" t="s">
        <v>2823</v>
      </c>
      <c r="B503" s="1" t="s">
        <v>2824</v>
      </c>
      <c r="C503" s="2" t="s">
        <v>218</v>
      </c>
      <c r="D503" s="2" t="s">
        <v>2825</v>
      </c>
      <c r="E503" s="1" t="s">
        <v>52</v>
      </c>
      <c r="F503" s="2" t="s">
        <v>2826</v>
      </c>
      <c r="G503" s="2" t="s">
        <v>19</v>
      </c>
      <c r="H503" s="2" t="s">
        <v>128</v>
      </c>
      <c r="I503" s="1" t="s">
        <v>34</v>
      </c>
      <c r="J503" s="1" t="s">
        <v>56</v>
      </c>
      <c r="K503" s="1" t="s">
        <v>81</v>
      </c>
      <c r="L503" s="1" t="s">
        <v>46</v>
      </c>
      <c r="M503" s="2" t="s">
        <v>2827</v>
      </c>
    </row>
    <row r="504">
      <c r="A504" s="1" t="s">
        <v>2828</v>
      </c>
      <c r="B504" s="1" t="s">
        <v>2829</v>
      </c>
      <c r="C504" s="2" t="s">
        <v>1451</v>
      </c>
      <c r="D504" s="2" t="s">
        <v>2830</v>
      </c>
      <c r="E504" s="1" t="s">
        <v>200</v>
      </c>
      <c r="F504" s="2" t="s">
        <v>2831</v>
      </c>
      <c r="G504" s="2" t="s">
        <v>44</v>
      </c>
      <c r="H504" s="2" t="s">
        <v>214</v>
      </c>
      <c r="I504" s="1" t="s">
        <v>55</v>
      </c>
      <c r="J504" s="1" t="s">
        <v>73</v>
      </c>
      <c r="K504" s="1" t="s">
        <v>88</v>
      </c>
      <c r="L504" s="1" t="s">
        <v>46</v>
      </c>
      <c r="M504" s="2" t="s">
        <v>2832</v>
      </c>
    </row>
    <row r="505">
      <c r="A505" s="1" t="s">
        <v>2833</v>
      </c>
      <c r="B505" s="1" t="s">
        <v>2834</v>
      </c>
      <c r="C505" s="2" t="s">
        <v>2835</v>
      </c>
      <c r="D505" s="2" t="s">
        <v>2836</v>
      </c>
      <c r="E505" s="1" t="s">
        <v>17</v>
      </c>
      <c r="F505" s="2" t="s">
        <v>2837</v>
      </c>
      <c r="G505" s="2" t="s">
        <v>44</v>
      </c>
      <c r="H505" s="2" t="s">
        <v>95</v>
      </c>
      <c r="I505" s="1" t="s">
        <v>34</v>
      </c>
      <c r="J505" s="1" t="s">
        <v>56</v>
      </c>
      <c r="K505" s="1" t="s">
        <v>121</v>
      </c>
      <c r="L505" s="1" t="s">
        <v>46</v>
      </c>
      <c r="M505" s="2" t="s">
        <v>2838</v>
      </c>
    </row>
    <row r="506">
      <c r="A506" s="1" t="s">
        <v>2839</v>
      </c>
      <c r="B506" s="1" t="s">
        <v>2840</v>
      </c>
      <c r="C506" s="2" t="s">
        <v>2841</v>
      </c>
      <c r="D506" s="2" t="s">
        <v>2842</v>
      </c>
      <c r="E506" s="1" t="s">
        <v>17</v>
      </c>
      <c r="F506" s="2" t="s">
        <v>256</v>
      </c>
      <c r="G506" s="2" t="s">
        <v>19</v>
      </c>
      <c r="H506" s="2" t="s">
        <v>214</v>
      </c>
      <c r="I506" s="1" t="s">
        <v>34</v>
      </c>
      <c r="J506" s="1" t="s">
        <v>22</v>
      </c>
      <c r="K506" s="1" t="s">
        <v>88</v>
      </c>
      <c r="L506" s="1" t="s">
        <v>36</v>
      </c>
      <c r="M506" s="2" t="s">
        <v>2843</v>
      </c>
    </row>
    <row r="507">
      <c r="A507" s="1" t="s">
        <v>2844</v>
      </c>
      <c r="B507" s="1" t="s">
        <v>2845</v>
      </c>
      <c r="C507" s="2" t="s">
        <v>634</v>
      </c>
      <c r="D507" s="2" t="s">
        <v>2846</v>
      </c>
      <c r="E507" s="1" t="s">
        <v>200</v>
      </c>
      <c r="F507" s="2" t="s">
        <v>2847</v>
      </c>
      <c r="G507" s="2" t="s">
        <v>32</v>
      </c>
      <c r="H507" s="2" t="s">
        <v>72</v>
      </c>
      <c r="I507" s="1" t="s">
        <v>34</v>
      </c>
      <c r="J507" s="1" t="s">
        <v>73</v>
      </c>
      <c r="K507" s="1" t="s">
        <v>81</v>
      </c>
      <c r="L507" s="1" t="s">
        <v>36</v>
      </c>
      <c r="M507" s="2" t="s">
        <v>2848</v>
      </c>
    </row>
    <row r="508">
      <c r="A508" s="1" t="s">
        <v>2849</v>
      </c>
      <c r="B508" s="1" t="s">
        <v>2850</v>
      </c>
      <c r="C508" s="2" t="s">
        <v>2851</v>
      </c>
      <c r="D508" s="2" t="s">
        <v>2852</v>
      </c>
      <c r="E508" s="1" t="s">
        <v>17</v>
      </c>
      <c r="F508" s="2" t="s">
        <v>2853</v>
      </c>
      <c r="G508" s="2" t="s">
        <v>19</v>
      </c>
      <c r="H508" s="2" t="s">
        <v>95</v>
      </c>
      <c r="I508" s="1" t="s">
        <v>55</v>
      </c>
      <c r="J508" s="1" t="s">
        <v>45</v>
      </c>
      <c r="K508" s="1" t="s">
        <v>88</v>
      </c>
      <c r="L508" s="1" t="s">
        <v>24</v>
      </c>
      <c r="M508" s="2" t="s">
        <v>2854</v>
      </c>
    </row>
    <row r="509">
      <c r="A509" s="1" t="s">
        <v>2855</v>
      </c>
      <c r="B509" s="1" t="s">
        <v>2856</v>
      </c>
      <c r="C509" s="2" t="s">
        <v>2857</v>
      </c>
      <c r="D509" s="2" t="s">
        <v>2858</v>
      </c>
      <c r="E509" s="1" t="s">
        <v>52</v>
      </c>
      <c r="F509" s="2" t="s">
        <v>2859</v>
      </c>
      <c r="G509" s="2" t="s">
        <v>32</v>
      </c>
      <c r="H509" s="2" t="s">
        <v>20</v>
      </c>
      <c r="I509" s="1" t="s">
        <v>65</v>
      </c>
      <c r="J509" s="1" t="s">
        <v>73</v>
      </c>
      <c r="K509" s="1" t="s">
        <v>81</v>
      </c>
      <c r="L509" s="1" t="s">
        <v>24</v>
      </c>
      <c r="M509" s="2" t="s">
        <v>2860</v>
      </c>
    </row>
    <row r="510">
      <c r="A510" s="1" t="s">
        <v>2861</v>
      </c>
      <c r="B510" s="1" t="s">
        <v>2862</v>
      </c>
      <c r="C510" s="2" t="s">
        <v>2863</v>
      </c>
      <c r="D510" s="2" t="s">
        <v>2864</v>
      </c>
      <c r="E510" s="1" t="s">
        <v>52</v>
      </c>
      <c r="F510" s="2" t="s">
        <v>2865</v>
      </c>
      <c r="G510" s="2" t="s">
        <v>63</v>
      </c>
      <c r="H510" s="2" t="s">
        <v>114</v>
      </c>
      <c r="I510" s="1" t="s">
        <v>65</v>
      </c>
      <c r="J510" s="1" t="s">
        <v>45</v>
      </c>
      <c r="K510" s="1" t="s">
        <v>23</v>
      </c>
      <c r="L510" s="1" t="s">
        <v>46</v>
      </c>
      <c r="M510" s="2" t="s">
        <v>2866</v>
      </c>
    </row>
    <row r="511">
      <c r="A511" s="1" t="s">
        <v>2867</v>
      </c>
      <c r="B511" s="1" t="s">
        <v>2868</v>
      </c>
      <c r="C511" s="2" t="s">
        <v>1744</v>
      </c>
      <c r="D511" s="2" t="s">
        <v>2869</v>
      </c>
      <c r="E511" s="1" t="s">
        <v>30</v>
      </c>
      <c r="F511" s="2" t="s">
        <v>854</v>
      </c>
      <c r="G511" s="2" t="s">
        <v>32</v>
      </c>
      <c r="H511" s="2" t="s">
        <v>80</v>
      </c>
      <c r="I511" s="1" t="s">
        <v>55</v>
      </c>
      <c r="J511" s="1" t="s">
        <v>73</v>
      </c>
      <c r="K511" s="1" t="s">
        <v>23</v>
      </c>
      <c r="L511" s="1" t="s">
        <v>24</v>
      </c>
      <c r="M511" s="2" t="s">
        <v>2870</v>
      </c>
    </row>
    <row r="512">
      <c r="A512" s="1" t="s">
        <v>2871</v>
      </c>
      <c r="B512" s="1" t="s">
        <v>2872</v>
      </c>
      <c r="C512" s="2" t="s">
        <v>1552</v>
      </c>
      <c r="D512" s="2" t="s">
        <v>2873</v>
      </c>
      <c r="E512" s="1" t="s">
        <v>17</v>
      </c>
      <c r="F512" s="2" t="s">
        <v>2874</v>
      </c>
      <c r="G512" s="2" t="s">
        <v>19</v>
      </c>
      <c r="H512" s="2" t="s">
        <v>128</v>
      </c>
      <c r="I512" s="1" t="s">
        <v>55</v>
      </c>
      <c r="J512" s="1" t="s">
        <v>22</v>
      </c>
      <c r="K512" s="1" t="s">
        <v>81</v>
      </c>
      <c r="L512" s="1" t="s">
        <v>36</v>
      </c>
      <c r="M512" s="2" t="s">
        <v>2875</v>
      </c>
    </row>
    <row r="513">
      <c r="A513" s="1" t="s">
        <v>2876</v>
      </c>
      <c r="B513" s="1" t="s">
        <v>2877</v>
      </c>
      <c r="C513" s="2" t="s">
        <v>2878</v>
      </c>
      <c r="D513" s="2" t="s">
        <v>2879</v>
      </c>
      <c r="E513" s="1" t="s">
        <v>200</v>
      </c>
      <c r="F513" s="2" t="s">
        <v>2880</v>
      </c>
      <c r="G513" s="2" t="s">
        <v>44</v>
      </c>
      <c r="H513" s="2" t="s">
        <v>54</v>
      </c>
      <c r="I513" s="1" t="s">
        <v>21</v>
      </c>
      <c r="J513" s="1" t="s">
        <v>45</v>
      </c>
      <c r="K513" s="1" t="s">
        <v>88</v>
      </c>
      <c r="L513" s="1" t="s">
        <v>24</v>
      </c>
      <c r="M513" s="2" t="s">
        <v>2881</v>
      </c>
    </row>
    <row r="514">
      <c r="A514" s="1" t="s">
        <v>2882</v>
      </c>
      <c r="B514" s="1" t="s">
        <v>2883</v>
      </c>
      <c r="C514" s="2" t="s">
        <v>293</v>
      </c>
      <c r="D514" s="2" t="s">
        <v>2884</v>
      </c>
      <c r="E514" s="1" t="s">
        <v>200</v>
      </c>
      <c r="F514" s="2" t="s">
        <v>2885</v>
      </c>
      <c r="G514" s="2" t="s">
        <v>19</v>
      </c>
      <c r="H514" s="2" t="s">
        <v>483</v>
      </c>
      <c r="I514" s="1" t="s">
        <v>21</v>
      </c>
      <c r="J514" s="1" t="s">
        <v>56</v>
      </c>
      <c r="K514" s="1" t="s">
        <v>35</v>
      </c>
      <c r="L514" s="1" t="s">
        <v>46</v>
      </c>
      <c r="M514" s="2" t="s">
        <v>2886</v>
      </c>
    </row>
    <row r="515">
      <c r="A515" s="1" t="s">
        <v>2887</v>
      </c>
      <c r="B515" s="1" t="s">
        <v>2888</v>
      </c>
      <c r="C515" s="2" t="s">
        <v>1804</v>
      </c>
      <c r="D515" s="2" t="s">
        <v>2889</v>
      </c>
      <c r="E515" s="1" t="s">
        <v>52</v>
      </c>
      <c r="F515" s="2" t="s">
        <v>2890</v>
      </c>
      <c r="G515" s="2" t="s">
        <v>63</v>
      </c>
      <c r="H515" s="2" t="s">
        <v>33</v>
      </c>
      <c r="I515" s="1" t="s">
        <v>21</v>
      </c>
      <c r="J515" s="1" t="s">
        <v>22</v>
      </c>
      <c r="K515" s="1" t="s">
        <v>88</v>
      </c>
      <c r="L515" s="1" t="s">
        <v>24</v>
      </c>
      <c r="M515" s="2" t="s">
        <v>2891</v>
      </c>
    </row>
    <row r="516">
      <c r="A516" s="1" t="s">
        <v>2892</v>
      </c>
      <c r="B516" s="1" t="s">
        <v>2893</v>
      </c>
      <c r="C516" s="2" t="s">
        <v>2064</v>
      </c>
      <c r="D516" s="2" t="s">
        <v>2894</v>
      </c>
      <c r="E516" s="1" t="s">
        <v>200</v>
      </c>
      <c r="F516" s="2" t="s">
        <v>2895</v>
      </c>
      <c r="G516" s="2" t="s">
        <v>63</v>
      </c>
      <c r="H516" s="2" t="s">
        <v>54</v>
      </c>
      <c r="I516" s="1" t="s">
        <v>55</v>
      </c>
      <c r="J516" s="1" t="s">
        <v>56</v>
      </c>
      <c r="K516" s="1" t="s">
        <v>121</v>
      </c>
      <c r="L516" s="1" t="s">
        <v>36</v>
      </c>
      <c r="M516" s="2" t="s">
        <v>2896</v>
      </c>
    </row>
    <row r="517">
      <c r="A517" s="1" t="s">
        <v>2897</v>
      </c>
      <c r="B517" s="1" t="s">
        <v>2898</v>
      </c>
      <c r="C517" s="2" t="s">
        <v>2899</v>
      </c>
      <c r="D517" s="2" t="s">
        <v>2900</v>
      </c>
      <c r="E517" s="1" t="s">
        <v>30</v>
      </c>
      <c r="F517" s="2" t="s">
        <v>2901</v>
      </c>
      <c r="G517" s="2" t="s">
        <v>63</v>
      </c>
      <c r="H517" s="2" t="s">
        <v>114</v>
      </c>
      <c r="I517" s="1" t="s">
        <v>65</v>
      </c>
      <c r="J517" s="1" t="s">
        <v>73</v>
      </c>
      <c r="K517" s="1" t="s">
        <v>88</v>
      </c>
      <c r="L517" s="1" t="s">
        <v>46</v>
      </c>
      <c r="M517" s="2" t="s">
        <v>2902</v>
      </c>
    </row>
    <row r="518">
      <c r="A518" s="1" t="s">
        <v>2903</v>
      </c>
      <c r="B518" s="1" t="s">
        <v>2904</v>
      </c>
      <c r="C518" s="2" t="s">
        <v>2019</v>
      </c>
      <c r="D518" s="2" t="s">
        <v>2905</v>
      </c>
      <c r="E518" s="1" t="s">
        <v>17</v>
      </c>
      <c r="F518" s="2" t="s">
        <v>2906</v>
      </c>
      <c r="G518" s="2" t="s">
        <v>19</v>
      </c>
      <c r="H518" s="2" t="s">
        <v>518</v>
      </c>
      <c r="I518" s="1" t="s">
        <v>34</v>
      </c>
      <c r="J518" s="1" t="s">
        <v>45</v>
      </c>
      <c r="K518" s="1" t="s">
        <v>88</v>
      </c>
      <c r="L518" s="1" t="s">
        <v>36</v>
      </c>
      <c r="M518" s="2" t="s">
        <v>2907</v>
      </c>
    </row>
    <row r="519">
      <c r="A519" s="1" t="s">
        <v>2908</v>
      </c>
      <c r="B519" s="1" t="s">
        <v>2909</v>
      </c>
      <c r="C519" s="2" t="s">
        <v>2910</v>
      </c>
      <c r="D519" s="2" t="s">
        <v>2911</v>
      </c>
      <c r="E519" s="1" t="s">
        <v>200</v>
      </c>
      <c r="F519" s="2" t="s">
        <v>2691</v>
      </c>
      <c r="G519" s="2" t="s">
        <v>63</v>
      </c>
      <c r="H519" s="2" t="s">
        <v>33</v>
      </c>
      <c r="I519" s="1" t="s">
        <v>21</v>
      </c>
      <c r="J519" s="1" t="s">
        <v>56</v>
      </c>
      <c r="K519" s="1" t="s">
        <v>121</v>
      </c>
      <c r="L519" s="1" t="s">
        <v>36</v>
      </c>
      <c r="M519" s="2" t="s">
        <v>2912</v>
      </c>
    </row>
    <row r="520">
      <c r="A520" s="1" t="s">
        <v>2913</v>
      </c>
      <c r="B520" s="1" t="s">
        <v>2914</v>
      </c>
      <c r="C520" s="2" t="s">
        <v>2108</v>
      </c>
      <c r="D520" s="2" t="s">
        <v>2915</v>
      </c>
      <c r="E520" s="1" t="s">
        <v>200</v>
      </c>
      <c r="F520" s="2" t="s">
        <v>2916</v>
      </c>
      <c r="G520" s="2" t="s">
        <v>32</v>
      </c>
      <c r="H520" s="2" t="s">
        <v>20</v>
      </c>
      <c r="I520" s="1" t="s">
        <v>34</v>
      </c>
      <c r="J520" s="1" t="s">
        <v>22</v>
      </c>
      <c r="K520" s="1" t="s">
        <v>121</v>
      </c>
      <c r="L520" s="1" t="s">
        <v>46</v>
      </c>
      <c r="M520" s="2" t="s">
        <v>2917</v>
      </c>
    </row>
    <row r="521">
      <c r="A521" s="1" t="s">
        <v>2918</v>
      </c>
      <c r="B521" s="1" t="s">
        <v>2919</v>
      </c>
      <c r="C521" s="2" t="s">
        <v>914</v>
      </c>
      <c r="D521" s="2" t="s">
        <v>2920</v>
      </c>
      <c r="E521" s="1" t="s">
        <v>52</v>
      </c>
      <c r="F521" s="2" t="s">
        <v>2921</v>
      </c>
      <c r="G521" s="2" t="s">
        <v>63</v>
      </c>
      <c r="H521" s="2" t="s">
        <v>141</v>
      </c>
      <c r="I521" s="1" t="s">
        <v>21</v>
      </c>
      <c r="J521" s="1" t="s">
        <v>56</v>
      </c>
      <c r="K521" s="1" t="s">
        <v>81</v>
      </c>
      <c r="L521" s="1" t="s">
        <v>46</v>
      </c>
      <c r="M521" s="2" t="s">
        <v>2922</v>
      </c>
    </row>
    <row r="522">
      <c r="A522" s="1" t="s">
        <v>2923</v>
      </c>
      <c r="B522" s="1" t="s">
        <v>2924</v>
      </c>
      <c r="C522" s="2" t="s">
        <v>1384</v>
      </c>
      <c r="D522" s="2" t="s">
        <v>2925</v>
      </c>
      <c r="E522" s="1" t="s">
        <v>17</v>
      </c>
      <c r="F522" s="2" t="s">
        <v>2926</v>
      </c>
      <c r="G522" s="2" t="s">
        <v>44</v>
      </c>
      <c r="H522" s="2" t="s">
        <v>54</v>
      </c>
      <c r="I522" s="1" t="s">
        <v>65</v>
      </c>
      <c r="J522" s="1" t="s">
        <v>73</v>
      </c>
      <c r="K522" s="1" t="s">
        <v>81</v>
      </c>
      <c r="L522" s="1" t="s">
        <v>46</v>
      </c>
      <c r="M522" s="2" t="s">
        <v>2927</v>
      </c>
    </row>
    <row r="523">
      <c r="A523" s="1" t="s">
        <v>2928</v>
      </c>
      <c r="B523" s="1" t="s">
        <v>2929</v>
      </c>
      <c r="C523" s="2" t="s">
        <v>1402</v>
      </c>
      <c r="D523" s="2" t="s">
        <v>2930</v>
      </c>
      <c r="E523" s="1" t="s">
        <v>200</v>
      </c>
      <c r="F523" s="2" t="s">
        <v>2931</v>
      </c>
      <c r="G523" s="2" t="s">
        <v>63</v>
      </c>
      <c r="H523" s="2" t="s">
        <v>518</v>
      </c>
      <c r="I523" s="1" t="s">
        <v>65</v>
      </c>
      <c r="J523" s="1" t="s">
        <v>56</v>
      </c>
      <c r="K523" s="1" t="s">
        <v>35</v>
      </c>
      <c r="L523" s="1" t="s">
        <v>46</v>
      </c>
      <c r="M523" s="2" t="s">
        <v>2932</v>
      </c>
    </row>
    <row r="524">
      <c r="A524" s="1" t="s">
        <v>2933</v>
      </c>
      <c r="B524" s="1" t="s">
        <v>2934</v>
      </c>
      <c r="C524" s="2" t="s">
        <v>2599</v>
      </c>
      <c r="D524" s="2" t="s">
        <v>2935</v>
      </c>
      <c r="E524" s="1" t="s">
        <v>17</v>
      </c>
      <c r="F524" s="2" t="s">
        <v>2936</v>
      </c>
      <c r="G524" s="2" t="s">
        <v>32</v>
      </c>
      <c r="H524" s="2" t="s">
        <v>518</v>
      </c>
      <c r="I524" s="1" t="s">
        <v>65</v>
      </c>
      <c r="J524" s="1" t="s">
        <v>45</v>
      </c>
      <c r="K524" s="1" t="s">
        <v>23</v>
      </c>
      <c r="L524" s="1" t="s">
        <v>46</v>
      </c>
      <c r="M524" s="2" t="s">
        <v>2937</v>
      </c>
    </row>
    <row r="525">
      <c r="A525" s="1" t="s">
        <v>2938</v>
      </c>
      <c r="B525" s="1" t="s">
        <v>2939</v>
      </c>
      <c r="C525" s="2" t="s">
        <v>1961</v>
      </c>
      <c r="D525" s="2" t="s">
        <v>2940</v>
      </c>
      <c r="E525" s="1" t="s">
        <v>52</v>
      </c>
      <c r="F525" s="2" t="s">
        <v>2941</v>
      </c>
      <c r="G525" s="2" t="s">
        <v>19</v>
      </c>
      <c r="H525" s="2" t="s">
        <v>33</v>
      </c>
      <c r="I525" s="1" t="s">
        <v>34</v>
      </c>
      <c r="J525" s="1" t="s">
        <v>45</v>
      </c>
      <c r="K525" s="1" t="s">
        <v>81</v>
      </c>
      <c r="L525" s="1" t="s">
        <v>36</v>
      </c>
      <c r="M525" s="2" t="s">
        <v>2942</v>
      </c>
    </row>
    <row r="526">
      <c r="A526" s="1" t="s">
        <v>2943</v>
      </c>
      <c r="B526" s="1" t="s">
        <v>2944</v>
      </c>
      <c r="C526" s="2" t="s">
        <v>570</v>
      </c>
      <c r="D526" s="2" t="s">
        <v>2945</v>
      </c>
      <c r="E526" s="1" t="s">
        <v>42</v>
      </c>
      <c r="F526" s="2" t="s">
        <v>2946</v>
      </c>
      <c r="G526" s="2" t="s">
        <v>44</v>
      </c>
      <c r="H526" s="2" t="s">
        <v>54</v>
      </c>
      <c r="I526" s="1" t="s">
        <v>55</v>
      </c>
      <c r="J526" s="1" t="s">
        <v>22</v>
      </c>
      <c r="K526" s="1" t="s">
        <v>81</v>
      </c>
      <c r="L526" s="1" t="s">
        <v>46</v>
      </c>
      <c r="M526" s="2" t="s">
        <v>2947</v>
      </c>
    </row>
    <row r="527">
      <c r="A527" s="1" t="s">
        <v>2948</v>
      </c>
      <c r="B527" s="1" t="s">
        <v>2949</v>
      </c>
      <c r="C527" s="2" t="s">
        <v>2950</v>
      </c>
      <c r="D527" s="2" t="s">
        <v>2951</v>
      </c>
      <c r="E527" s="1" t="s">
        <v>52</v>
      </c>
      <c r="F527" s="2" t="s">
        <v>2952</v>
      </c>
      <c r="G527" s="2" t="s">
        <v>19</v>
      </c>
      <c r="H527" s="2" t="s">
        <v>214</v>
      </c>
      <c r="I527" s="1" t="s">
        <v>65</v>
      </c>
      <c r="J527" s="1" t="s">
        <v>22</v>
      </c>
      <c r="K527" s="1" t="s">
        <v>23</v>
      </c>
      <c r="L527" s="1" t="s">
        <v>36</v>
      </c>
      <c r="M527" s="2" t="s">
        <v>2953</v>
      </c>
    </row>
    <row r="528">
      <c r="A528" s="1" t="s">
        <v>2954</v>
      </c>
      <c r="B528" s="1" t="s">
        <v>2955</v>
      </c>
      <c r="C528" s="2" t="s">
        <v>2956</v>
      </c>
      <c r="D528" s="2" t="s">
        <v>2957</v>
      </c>
      <c r="E528" s="1" t="s">
        <v>17</v>
      </c>
      <c r="F528" s="2" t="s">
        <v>2958</v>
      </c>
      <c r="G528" s="2" t="s">
        <v>32</v>
      </c>
      <c r="H528" s="2" t="s">
        <v>80</v>
      </c>
      <c r="I528" s="1" t="s">
        <v>21</v>
      </c>
      <c r="J528" s="1" t="s">
        <v>45</v>
      </c>
      <c r="K528" s="1" t="s">
        <v>81</v>
      </c>
      <c r="L528" s="1" t="s">
        <v>24</v>
      </c>
      <c r="M528" s="2" t="s">
        <v>2959</v>
      </c>
    </row>
    <row r="529">
      <c r="A529" s="1" t="s">
        <v>2960</v>
      </c>
      <c r="B529" s="1" t="s">
        <v>2961</v>
      </c>
      <c r="C529" s="2" t="s">
        <v>2080</v>
      </c>
      <c r="D529" s="2" t="s">
        <v>2962</v>
      </c>
      <c r="E529" s="1" t="s">
        <v>17</v>
      </c>
      <c r="F529" s="2" t="s">
        <v>2963</v>
      </c>
      <c r="G529" s="2" t="s">
        <v>19</v>
      </c>
      <c r="H529" s="2" t="s">
        <v>128</v>
      </c>
      <c r="I529" s="1" t="s">
        <v>65</v>
      </c>
      <c r="J529" s="1" t="s">
        <v>73</v>
      </c>
      <c r="K529" s="1" t="s">
        <v>35</v>
      </c>
      <c r="L529" s="1" t="s">
        <v>46</v>
      </c>
      <c r="M529" s="2" t="s">
        <v>2964</v>
      </c>
    </row>
    <row r="530">
      <c r="A530" s="1" t="s">
        <v>2965</v>
      </c>
      <c r="B530" s="1" t="s">
        <v>2966</v>
      </c>
      <c r="C530" s="2" t="s">
        <v>1396</v>
      </c>
      <c r="D530" s="2" t="s">
        <v>2967</v>
      </c>
      <c r="E530" s="1" t="s">
        <v>30</v>
      </c>
      <c r="F530" s="2" t="s">
        <v>2968</v>
      </c>
      <c r="G530" s="2" t="s">
        <v>32</v>
      </c>
      <c r="H530" s="2" t="s">
        <v>345</v>
      </c>
      <c r="I530" s="1" t="s">
        <v>34</v>
      </c>
      <c r="J530" s="1" t="s">
        <v>56</v>
      </c>
      <c r="K530" s="1" t="s">
        <v>35</v>
      </c>
      <c r="L530" s="1" t="s">
        <v>46</v>
      </c>
      <c r="M530" s="2" t="s">
        <v>2969</v>
      </c>
    </row>
    <row r="531">
      <c r="A531" s="1" t="s">
        <v>2970</v>
      </c>
      <c r="B531" s="1" t="s">
        <v>2971</v>
      </c>
      <c r="C531" s="2" t="s">
        <v>2213</v>
      </c>
      <c r="D531" s="2" t="s">
        <v>2972</v>
      </c>
      <c r="E531" s="1" t="s">
        <v>200</v>
      </c>
      <c r="F531" s="2" t="s">
        <v>2973</v>
      </c>
      <c r="G531" s="2" t="s">
        <v>32</v>
      </c>
      <c r="H531" s="2" t="s">
        <v>72</v>
      </c>
      <c r="I531" s="1" t="s">
        <v>21</v>
      </c>
      <c r="J531" s="1" t="s">
        <v>56</v>
      </c>
      <c r="K531" s="1" t="s">
        <v>81</v>
      </c>
      <c r="L531" s="1" t="s">
        <v>36</v>
      </c>
      <c r="M531" s="2" t="s">
        <v>2974</v>
      </c>
    </row>
    <row r="532">
      <c r="A532" s="1" t="s">
        <v>2975</v>
      </c>
      <c r="B532" s="1" t="s">
        <v>2976</v>
      </c>
      <c r="C532" s="2" t="s">
        <v>1440</v>
      </c>
      <c r="D532" s="2" t="s">
        <v>2977</v>
      </c>
      <c r="E532" s="1" t="s">
        <v>17</v>
      </c>
      <c r="F532" s="2" t="s">
        <v>2978</v>
      </c>
      <c r="G532" s="2" t="s">
        <v>32</v>
      </c>
      <c r="H532" s="2" t="s">
        <v>64</v>
      </c>
      <c r="I532" s="1" t="s">
        <v>55</v>
      </c>
      <c r="J532" s="1" t="s">
        <v>22</v>
      </c>
      <c r="K532" s="1" t="s">
        <v>35</v>
      </c>
      <c r="L532" s="1" t="s">
        <v>36</v>
      </c>
      <c r="M532" s="2" t="s">
        <v>2979</v>
      </c>
    </row>
    <row r="533">
      <c r="A533" s="1" t="s">
        <v>2980</v>
      </c>
      <c r="B533" s="1" t="s">
        <v>2981</v>
      </c>
      <c r="C533" s="2" t="s">
        <v>2982</v>
      </c>
      <c r="D533" s="2" t="s">
        <v>2983</v>
      </c>
      <c r="E533" s="1" t="s">
        <v>200</v>
      </c>
      <c r="F533" s="2" t="s">
        <v>2984</v>
      </c>
      <c r="G533" s="2" t="s">
        <v>63</v>
      </c>
      <c r="H533" s="2" t="s">
        <v>483</v>
      </c>
      <c r="I533" s="1" t="s">
        <v>65</v>
      </c>
      <c r="J533" s="1" t="s">
        <v>45</v>
      </c>
      <c r="K533" s="1" t="s">
        <v>88</v>
      </c>
      <c r="L533" s="1" t="s">
        <v>36</v>
      </c>
      <c r="M533" s="2" t="s">
        <v>2985</v>
      </c>
    </row>
    <row r="534">
      <c r="A534" s="1" t="s">
        <v>2986</v>
      </c>
      <c r="B534" s="1" t="s">
        <v>2987</v>
      </c>
      <c r="C534" s="2" t="s">
        <v>1279</v>
      </c>
      <c r="D534" s="2" t="s">
        <v>2988</v>
      </c>
      <c r="E534" s="1" t="s">
        <v>42</v>
      </c>
      <c r="F534" s="2" t="s">
        <v>2989</v>
      </c>
      <c r="G534" s="2" t="s">
        <v>32</v>
      </c>
      <c r="H534" s="2" t="s">
        <v>95</v>
      </c>
      <c r="I534" s="1" t="s">
        <v>55</v>
      </c>
      <c r="J534" s="1" t="s">
        <v>56</v>
      </c>
      <c r="K534" s="1" t="s">
        <v>35</v>
      </c>
      <c r="L534" s="1" t="s">
        <v>46</v>
      </c>
      <c r="M534" s="2" t="s">
        <v>2990</v>
      </c>
    </row>
    <row r="535">
      <c r="A535" s="1" t="s">
        <v>2991</v>
      </c>
      <c r="B535" s="1" t="s">
        <v>2992</v>
      </c>
      <c r="C535" s="2" t="s">
        <v>361</v>
      </c>
      <c r="D535" s="2" t="s">
        <v>2993</v>
      </c>
      <c r="E535" s="1" t="s">
        <v>200</v>
      </c>
      <c r="F535" s="2" t="s">
        <v>2994</v>
      </c>
      <c r="G535" s="2" t="s">
        <v>63</v>
      </c>
      <c r="H535" s="2" t="s">
        <v>80</v>
      </c>
      <c r="I535" s="1" t="s">
        <v>55</v>
      </c>
      <c r="J535" s="1" t="s">
        <v>22</v>
      </c>
      <c r="K535" s="1" t="s">
        <v>121</v>
      </c>
      <c r="L535" s="1" t="s">
        <v>36</v>
      </c>
      <c r="M535" s="2" t="s">
        <v>2995</v>
      </c>
    </row>
    <row r="536">
      <c r="A536" s="1" t="s">
        <v>2996</v>
      </c>
      <c r="B536" s="1" t="s">
        <v>2997</v>
      </c>
      <c r="C536" s="2" t="s">
        <v>1118</v>
      </c>
      <c r="D536" s="2" t="s">
        <v>2998</v>
      </c>
      <c r="E536" s="1" t="s">
        <v>17</v>
      </c>
      <c r="F536" s="2" t="s">
        <v>2999</v>
      </c>
      <c r="G536" s="2" t="s">
        <v>63</v>
      </c>
      <c r="H536" s="2" t="s">
        <v>64</v>
      </c>
      <c r="I536" s="1" t="s">
        <v>34</v>
      </c>
      <c r="J536" s="1" t="s">
        <v>73</v>
      </c>
      <c r="K536" s="1" t="s">
        <v>121</v>
      </c>
      <c r="L536" s="1" t="s">
        <v>36</v>
      </c>
      <c r="M536" s="2" t="s">
        <v>3000</v>
      </c>
    </row>
    <row r="537">
      <c r="A537" s="1" t="s">
        <v>3001</v>
      </c>
      <c r="B537" s="1" t="s">
        <v>3002</v>
      </c>
      <c r="C537" s="2" t="s">
        <v>622</v>
      </c>
      <c r="D537" s="2" t="s">
        <v>3003</v>
      </c>
      <c r="E537" s="1" t="s">
        <v>17</v>
      </c>
      <c r="F537" s="2" t="s">
        <v>3004</v>
      </c>
      <c r="G537" s="2" t="s">
        <v>19</v>
      </c>
      <c r="H537" s="2" t="s">
        <v>72</v>
      </c>
      <c r="I537" s="1" t="s">
        <v>34</v>
      </c>
      <c r="J537" s="1" t="s">
        <v>73</v>
      </c>
      <c r="K537" s="1" t="s">
        <v>121</v>
      </c>
      <c r="L537" s="1" t="s">
        <v>46</v>
      </c>
      <c r="M537" s="2" t="s">
        <v>3005</v>
      </c>
    </row>
    <row r="538">
      <c r="A538" s="1" t="s">
        <v>3006</v>
      </c>
      <c r="B538" s="1" t="s">
        <v>3007</v>
      </c>
      <c r="C538" s="2" t="s">
        <v>3008</v>
      </c>
      <c r="D538" s="2" t="s">
        <v>3009</v>
      </c>
      <c r="E538" s="1" t="s">
        <v>17</v>
      </c>
      <c r="F538" s="2" t="s">
        <v>3010</v>
      </c>
      <c r="G538" s="2" t="s">
        <v>19</v>
      </c>
      <c r="H538" s="2" t="s">
        <v>72</v>
      </c>
      <c r="I538" s="1" t="s">
        <v>21</v>
      </c>
      <c r="J538" s="1" t="s">
        <v>73</v>
      </c>
      <c r="K538" s="1" t="s">
        <v>81</v>
      </c>
      <c r="L538" s="1" t="s">
        <v>36</v>
      </c>
      <c r="M538" s="2" t="s">
        <v>3011</v>
      </c>
    </row>
    <row r="539">
      <c r="A539" s="1" t="s">
        <v>3012</v>
      </c>
      <c r="B539" s="1" t="s">
        <v>3013</v>
      </c>
      <c r="C539" s="2" t="s">
        <v>2851</v>
      </c>
      <c r="D539" s="2" t="s">
        <v>3014</v>
      </c>
      <c r="E539" s="1" t="s">
        <v>52</v>
      </c>
      <c r="F539" s="2" t="s">
        <v>363</v>
      </c>
      <c r="G539" s="2" t="s">
        <v>32</v>
      </c>
      <c r="H539" s="2" t="s">
        <v>64</v>
      </c>
      <c r="I539" s="1" t="s">
        <v>34</v>
      </c>
      <c r="J539" s="1" t="s">
        <v>45</v>
      </c>
      <c r="K539" s="1" t="s">
        <v>35</v>
      </c>
      <c r="L539" s="1" t="s">
        <v>36</v>
      </c>
      <c r="M539" s="2" t="s">
        <v>3015</v>
      </c>
    </row>
    <row r="540">
      <c r="A540" s="1" t="s">
        <v>3016</v>
      </c>
      <c r="B540" s="1" t="s">
        <v>3017</v>
      </c>
      <c r="C540" s="2" t="s">
        <v>3018</v>
      </c>
      <c r="D540" s="2" t="s">
        <v>3019</v>
      </c>
      <c r="E540" s="1" t="s">
        <v>52</v>
      </c>
      <c r="F540" s="2" t="s">
        <v>3020</v>
      </c>
      <c r="G540" s="2" t="s">
        <v>19</v>
      </c>
      <c r="H540" s="2" t="s">
        <v>128</v>
      </c>
      <c r="I540" s="1" t="s">
        <v>65</v>
      </c>
      <c r="J540" s="1" t="s">
        <v>56</v>
      </c>
      <c r="K540" s="1" t="s">
        <v>35</v>
      </c>
      <c r="L540" s="1" t="s">
        <v>24</v>
      </c>
      <c r="M540" s="2" t="s">
        <v>3021</v>
      </c>
    </row>
    <row r="541">
      <c r="A541" s="1" t="s">
        <v>3022</v>
      </c>
      <c r="B541" s="1" t="s">
        <v>3023</v>
      </c>
      <c r="C541" s="2" t="s">
        <v>3024</v>
      </c>
      <c r="D541" s="2" t="s">
        <v>3025</v>
      </c>
      <c r="E541" s="1" t="s">
        <v>30</v>
      </c>
      <c r="F541" s="2" t="s">
        <v>3026</v>
      </c>
      <c r="G541" s="2" t="s">
        <v>44</v>
      </c>
      <c r="H541" s="2" t="s">
        <v>483</v>
      </c>
      <c r="I541" s="1" t="s">
        <v>21</v>
      </c>
      <c r="J541" s="1" t="s">
        <v>45</v>
      </c>
      <c r="K541" s="1" t="s">
        <v>23</v>
      </c>
      <c r="L541" s="1" t="s">
        <v>36</v>
      </c>
      <c r="M541" s="2" t="s">
        <v>3027</v>
      </c>
    </row>
    <row r="542">
      <c r="A542" s="1" t="s">
        <v>3028</v>
      </c>
      <c r="B542" s="1" t="s">
        <v>3029</v>
      </c>
      <c r="C542" s="2" t="s">
        <v>600</v>
      </c>
      <c r="D542" s="2" t="s">
        <v>3030</v>
      </c>
      <c r="E542" s="1" t="s">
        <v>52</v>
      </c>
      <c r="F542" s="2" t="s">
        <v>3031</v>
      </c>
      <c r="G542" s="2" t="s">
        <v>19</v>
      </c>
      <c r="H542" s="2" t="s">
        <v>72</v>
      </c>
      <c r="I542" s="1" t="s">
        <v>65</v>
      </c>
      <c r="J542" s="1" t="s">
        <v>56</v>
      </c>
      <c r="K542" s="1" t="s">
        <v>88</v>
      </c>
      <c r="L542" s="1" t="s">
        <v>24</v>
      </c>
      <c r="M542" s="2" t="s">
        <v>3032</v>
      </c>
    </row>
    <row r="543">
      <c r="A543" s="1" t="s">
        <v>3033</v>
      </c>
      <c r="B543" s="1" t="s">
        <v>3034</v>
      </c>
      <c r="C543" s="2" t="s">
        <v>1166</v>
      </c>
      <c r="D543" s="2" t="s">
        <v>3035</v>
      </c>
      <c r="E543" s="1" t="s">
        <v>42</v>
      </c>
      <c r="F543" s="2" t="s">
        <v>3036</v>
      </c>
      <c r="G543" s="2" t="s">
        <v>32</v>
      </c>
      <c r="H543" s="2" t="s">
        <v>114</v>
      </c>
      <c r="I543" s="1" t="s">
        <v>65</v>
      </c>
      <c r="J543" s="1" t="s">
        <v>56</v>
      </c>
      <c r="K543" s="1" t="s">
        <v>35</v>
      </c>
      <c r="L543" s="1" t="s">
        <v>36</v>
      </c>
      <c r="M543" s="2" t="s">
        <v>3037</v>
      </c>
    </row>
    <row r="544">
      <c r="A544" s="1" t="s">
        <v>3038</v>
      </c>
      <c r="B544" s="1" t="s">
        <v>3039</v>
      </c>
      <c r="C544" s="2" t="s">
        <v>1340</v>
      </c>
      <c r="D544" s="2" t="s">
        <v>3040</v>
      </c>
      <c r="E544" s="1" t="s">
        <v>200</v>
      </c>
      <c r="F544" s="2" t="s">
        <v>3041</v>
      </c>
      <c r="G544" s="2" t="s">
        <v>19</v>
      </c>
      <c r="H544" s="2" t="s">
        <v>20</v>
      </c>
      <c r="I544" s="1" t="s">
        <v>21</v>
      </c>
      <c r="J544" s="1" t="s">
        <v>56</v>
      </c>
      <c r="K544" s="1" t="s">
        <v>23</v>
      </c>
      <c r="L544" s="1" t="s">
        <v>46</v>
      </c>
      <c r="M544" s="2" t="s">
        <v>3042</v>
      </c>
    </row>
    <row r="545">
      <c r="A545" s="1" t="s">
        <v>3043</v>
      </c>
      <c r="B545" s="1" t="s">
        <v>3044</v>
      </c>
      <c r="C545" s="2" t="s">
        <v>458</v>
      </c>
      <c r="D545" s="2" t="s">
        <v>3045</v>
      </c>
      <c r="E545" s="1" t="s">
        <v>200</v>
      </c>
      <c r="F545" s="2" t="s">
        <v>3046</v>
      </c>
      <c r="G545" s="2" t="s">
        <v>19</v>
      </c>
      <c r="H545" s="2" t="s">
        <v>33</v>
      </c>
      <c r="I545" s="1" t="s">
        <v>34</v>
      </c>
      <c r="J545" s="1" t="s">
        <v>56</v>
      </c>
      <c r="K545" s="1" t="s">
        <v>81</v>
      </c>
      <c r="L545" s="1" t="s">
        <v>46</v>
      </c>
      <c r="M545" s="2" t="s">
        <v>3047</v>
      </c>
    </row>
    <row r="546">
      <c r="A546" s="1" t="s">
        <v>3048</v>
      </c>
      <c r="B546" s="1" t="s">
        <v>3049</v>
      </c>
      <c r="C546" s="2" t="s">
        <v>1922</v>
      </c>
      <c r="D546" s="2" t="s">
        <v>3050</v>
      </c>
      <c r="E546" s="1" t="s">
        <v>200</v>
      </c>
      <c r="F546" s="2" t="s">
        <v>3051</v>
      </c>
      <c r="G546" s="2" t="s">
        <v>32</v>
      </c>
      <c r="H546" s="2" t="s">
        <v>72</v>
      </c>
      <c r="I546" s="1" t="s">
        <v>34</v>
      </c>
      <c r="J546" s="1" t="s">
        <v>73</v>
      </c>
      <c r="K546" s="1" t="s">
        <v>35</v>
      </c>
      <c r="L546" s="1" t="s">
        <v>24</v>
      </c>
      <c r="M546" s="2" t="s">
        <v>3052</v>
      </c>
    </row>
    <row r="547">
      <c r="A547" s="1" t="s">
        <v>3053</v>
      </c>
      <c r="B547" s="1" t="s">
        <v>3054</v>
      </c>
      <c r="C547" s="2" t="s">
        <v>422</v>
      </c>
      <c r="D547" s="2" t="s">
        <v>3055</v>
      </c>
      <c r="E547" s="1" t="s">
        <v>200</v>
      </c>
      <c r="F547" s="2" t="s">
        <v>2847</v>
      </c>
      <c r="G547" s="2" t="s">
        <v>63</v>
      </c>
      <c r="H547" s="2" t="s">
        <v>518</v>
      </c>
      <c r="I547" s="1" t="s">
        <v>21</v>
      </c>
      <c r="J547" s="1" t="s">
        <v>45</v>
      </c>
      <c r="K547" s="1" t="s">
        <v>88</v>
      </c>
      <c r="L547" s="1" t="s">
        <v>46</v>
      </c>
      <c r="M547" s="2" t="s">
        <v>3056</v>
      </c>
    </row>
    <row r="548">
      <c r="A548" s="1" t="s">
        <v>3057</v>
      </c>
      <c r="B548" s="1" t="s">
        <v>3058</v>
      </c>
      <c r="C548" s="2" t="s">
        <v>600</v>
      </c>
      <c r="D548" s="2" t="s">
        <v>3059</v>
      </c>
      <c r="E548" s="1" t="s">
        <v>200</v>
      </c>
      <c r="F548" s="2" t="s">
        <v>3060</v>
      </c>
      <c r="G548" s="2" t="s">
        <v>19</v>
      </c>
      <c r="H548" s="2" t="s">
        <v>345</v>
      </c>
      <c r="I548" s="1" t="s">
        <v>65</v>
      </c>
      <c r="J548" s="1" t="s">
        <v>73</v>
      </c>
      <c r="K548" s="1" t="s">
        <v>88</v>
      </c>
      <c r="L548" s="1" t="s">
        <v>36</v>
      </c>
      <c r="M548" s="2" t="s">
        <v>3061</v>
      </c>
    </row>
    <row r="549">
      <c r="A549" s="1" t="s">
        <v>3062</v>
      </c>
      <c r="B549" s="1" t="s">
        <v>3063</v>
      </c>
      <c r="C549" s="2" t="s">
        <v>1674</v>
      </c>
      <c r="D549" s="2" t="s">
        <v>3064</v>
      </c>
      <c r="E549" s="1" t="s">
        <v>42</v>
      </c>
      <c r="F549" s="2" t="s">
        <v>3065</v>
      </c>
      <c r="G549" s="2" t="s">
        <v>63</v>
      </c>
      <c r="H549" s="2" t="s">
        <v>326</v>
      </c>
      <c r="I549" s="1" t="s">
        <v>55</v>
      </c>
      <c r="J549" s="1" t="s">
        <v>22</v>
      </c>
      <c r="K549" s="1" t="s">
        <v>81</v>
      </c>
      <c r="L549" s="1" t="s">
        <v>36</v>
      </c>
      <c r="M549" s="2" t="s">
        <v>3066</v>
      </c>
    </row>
    <row r="550">
      <c r="A550" s="1" t="s">
        <v>3067</v>
      </c>
      <c r="B550" s="1" t="s">
        <v>3068</v>
      </c>
      <c r="C550" s="2" t="s">
        <v>1595</v>
      </c>
      <c r="D550" s="2" t="s">
        <v>3069</v>
      </c>
      <c r="E550" s="1" t="s">
        <v>42</v>
      </c>
      <c r="F550" s="2" t="s">
        <v>3070</v>
      </c>
      <c r="G550" s="2" t="s">
        <v>19</v>
      </c>
      <c r="H550" s="2" t="s">
        <v>20</v>
      </c>
      <c r="I550" s="1" t="s">
        <v>21</v>
      </c>
      <c r="J550" s="1" t="s">
        <v>56</v>
      </c>
      <c r="K550" s="1" t="s">
        <v>88</v>
      </c>
      <c r="L550" s="1" t="s">
        <v>36</v>
      </c>
      <c r="M550" s="2" t="s">
        <v>3071</v>
      </c>
    </row>
    <row r="551">
      <c r="A551" s="1" t="s">
        <v>3072</v>
      </c>
      <c r="B551" s="1" t="s">
        <v>3073</v>
      </c>
      <c r="C551" s="2" t="s">
        <v>1723</v>
      </c>
      <c r="D551" s="2" t="s">
        <v>3074</v>
      </c>
      <c r="E551" s="1" t="s">
        <v>30</v>
      </c>
      <c r="F551" s="2" t="s">
        <v>3075</v>
      </c>
      <c r="G551" s="2" t="s">
        <v>63</v>
      </c>
      <c r="H551" s="2" t="s">
        <v>64</v>
      </c>
      <c r="I551" s="1" t="s">
        <v>55</v>
      </c>
      <c r="J551" s="1" t="s">
        <v>22</v>
      </c>
      <c r="K551" s="1" t="s">
        <v>121</v>
      </c>
      <c r="L551" s="1" t="s">
        <v>46</v>
      </c>
      <c r="M551" s="2" t="s">
        <v>3076</v>
      </c>
    </row>
    <row r="552">
      <c r="A552" s="1" t="s">
        <v>3077</v>
      </c>
      <c r="B552" s="1" t="s">
        <v>3078</v>
      </c>
      <c r="C552" s="2" t="s">
        <v>540</v>
      </c>
      <c r="D552" s="2" t="s">
        <v>3079</v>
      </c>
      <c r="E552" s="1" t="s">
        <v>200</v>
      </c>
      <c r="F552" s="2" t="s">
        <v>3080</v>
      </c>
      <c r="G552" s="2" t="s">
        <v>19</v>
      </c>
      <c r="H552" s="2" t="s">
        <v>345</v>
      </c>
      <c r="I552" s="1" t="s">
        <v>21</v>
      </c>
      <c r="J552" s="1" t="s">
        <v>45</v>
      </c>
      <c r="K552" s="1" t="s">
        <v>88</v>
      </c>
      <c r="L552" s="1" t="s">
        <v>24</v>
      </c>
      <c r="M552" s="2" t="s">
        <v>3081</v>
      </c>
    </row>
    <row r="553">
      <c r="A553" s="1" t="s">
        <v>3082</v>
      </c>
      <c r="B553" s="1" t="s">
        <v>3083</v>
      </c>
      <c r="C553" s="2" t="s">
        <v>3084</v>
      </c>
      <c r="D553" s="2" t="s">
        <v>3085</v>
      </c>
      <c r="E553" s="1" t="s">
        <v>42</v>
      </c>
      <c r="F553" s="2" t="s">
        <v>2169</v>
      </c>
      <c r="G553" s="2" t="s">
        <v>19</v>
      </c>
      <c r="H553" s="2" t="s">
        <v>80</v>
      </c>
      <c r="I553" s="1" t="s">
        <v>55</v>
      </c>
      <c r="J553" s="1" t="s">
        <v>56</v>
      </c>
      <c r="K553" s="1" t="s">
        <v>23</v>
      </c>
      <c r="L553" s="1" t="s">
        <v>24</v>
      </c>
      <c r="M553" s="2" t="s">
        <v>3086</v>
      </c>
    </row>
    <row r="554">
      <c r="A554" s="1" t="s">
        <v>3087</v>
      </c>
      <c r="B554" s="1" t="s">
        <v>3088</v>
      </c>
      <c r="C554" s="2" t="s">
        <v>2048</v>
      </c>
      <c r="D554" s="2" t="s">
        <v>3089</v>
      </c>
      <c r="E554" s="1" t="s">
        <v>30</v>
      </c>
      <c r="F554" s="2" t="s">
        <v>3090</v>
      </c>
      <c r="G554" s="2" t="s">
        <v>63</v>
      </c>
      <c r="H554" s="2" t="s">
        <v>128</v>
      </c>
      <c r="I554" s="1" t="s">
        <v>65</v>
      </c>
      <c r="J554" s="1" t="s">
        <v>45</v>
      </c>
      <c r="K554" s="1" t="s">
        <v>23</v>
      </c>
      <c r="L554" s="1" t="s">
        <v>36</v>
      </c>
      <c r="M554" s="2" t="s">
        <v>3091</v>
      </c>
    </row>
    <row r="555">
      <c r="A555" s="1" t="s">
        <v>3092</v>
      </c>
      <c r="B555" s="1" t="s">
        <v>3093</v>
      </c>
      <c r="C555" s="2" t="s">
        <v>2646</v>
      </c>
      <c r="D555" s="2" t="s">
        <v>3094</v>
      </c>
      <c r="E555" s="1" t="s">
        <v>200</v>
      </c>
      <c r="F555" s="2" t="s">
        <v>3095</v>
      </c>
      <c r="G555" s="2" t="s">
        <v>32</v>
      </c>
      <c r="H555" s="2" t="s">
        <v>20</v>
      </c>
      <c r="I555" s="1" t="s">
        <v>55</v>
      </c>
      <c r="J555" s="1" t="s">
        <v>73</v>
      </c>
      <c r="K555" s="1" t="s">
        <v>88</v>
      </c>
      <c r="L555" s="1" t="s">
        <v>36</v>
      </c>
      <c r="M555" s="2" t="s">
        <v>3096</v>
      </c>
    </row>
    <row r="556">
      <c r="A556" s="1" t="s">
        <v>3097</v>
      </c>
      <c r="B556" s="1" t="s">
        <v>3098</v>
      </c>
      <c r="C556" s="2" t="s">
        <v>2282</v>
      </c>
      <c r="D556" s="2" t="s">
        <v>3099</v>
      </c>
      <c r="E556" s="1" t="s">
        <v>42</v>
      </c>
      <c r="F556" s="2" t="s">
        <v>3100</v>
      </c>
      <c r="G556" s="2" t="s">
        <v>19</v>
      </c>
      <c r="H556" s="2" t="s">
        <v>54</v>
      </c>
      <c r="I556" s="1" t="s">
        <v>65</v>
      </c>
      <c r="J556" s="1" t="s">
        <v>56</v>
      </c>
      <c r="K556" s="1" t="s">
        <v>23</v>
      </c>
      <c r="L556" s="1" t="s">
        <v>24</v>
      </c>
      <c r="M556" s="2" t="s">
        <v>3101</v>
      </c>
    </row>
    <row r="557">
      <c r="A557" s="1" t="s">
        <v>3102</v>
      </c>
      <c r="B557" s="1" t="s">
        <v>3103</v>
      </c>
      <c r="C557" s="2" t="s">
        <v>1634</v>
      </c>
      <c r="D557" s="2" t="s">
        <v>3104</v>
      </c>
      <c r="E557" s="1" t="s">
        <v>52</v>
      </c>
      <c r="F557" s="2" t="s">
        <v>3105</v>
      </c>
      <c r="G557" s="2" t="s">
        <v>44</v>
      </c>
      <c r="H557" s="2" t="s">
        <v>72</v>
      </c>
      <c r="I557" s="1" t="s">
        <v>65</v>
      </c>
      <c r="J557" s="1" t="s">
        <v>56</v>
      </c>
      <c r="K557" s="1" t="s">
        <v>121</v>
      </c>
      <c r="L557" s="1" t="s">
        <v>36</v>
      </c>
      <c r="M557" s="2" t="s">
        <v>3106</v>
      </c>
    </row>
    <row r="558">
      <c r="A558" s="1" t="s">
        <v>3107</v>
      </c>
      <c r="B558" s="1" t="s">
        <v>3108</v>
      </c>
      <c r="C558" s="2" t="s">
        <v>634</v>
      </c>
      <c r="D558" s="2" t="s">
        <v>3109</v>
      </c>
      <c r="E558" s="1" t="s">
        <v>17</v>
      </c>
      <c r="F558" s="2" t="s">
        <v>3110</v>
      </c>
      <c r="G558" s="2" t="s">
        <v>19</v>
      </c>
      <c r="H558" s="2" t="s">
        <v>54</v>
      </c>
      <c r="I558" s="1" t="s">
        <v>34</v>
      </c>
      <c r="J558" s="1" t="s">
        <v>73</v>
      </c>
      <c r="K558" s="1" t="s">
        <v>81</v>
      </c>
      <c r="L558" s="1" t="s">
        <v>36</v>
      </c>
      <c r="M558" s="2" t="s">
        <v>3111</v>
      </c>
    </row>
    <row r="559">
      <c r="A559" s="1" t="s">
        <v>3112</v>
      </c>
      <c r="B559" s="1" t="s">
        <v>3113</v>
      </c>
      <c r="C559" s="2" t="s">
        <v>168</v>
      </c>
      <c r="D559" s="2" t="s">
        <v>3114</v>
      </c>
      <c r="E559" s="1" t="s">
        <v>200</v>
      </c>
      <c r="F559" s="2" t="s">
        <v>3115</v>
      </c>
      <c r="G559" s="2" t="s">
        <v>44</v>
      </c>
      <c r="H559" s="2" t="s">
        <v>345</v>
      </c>
      <c r="I559" s="1" t="s">
        <v>55</v>
      </c>
      <c r="J559" s="1" t="s">
        <v>22</v>
      </c>
      <c r="K559" s="1" t="s">
        <v>81</v>
      </c>
      <c r="L559" s="1" t="s">
        <v>24</v>
      </c>
      <c r="M559" s="2" t="s">
        <v>3116</v>
      </c>
    </row>
    <row r="560">
      <c r="A560" s="1" t="s">
        <v>3117</v>
      </c>
      <c r="B560" s="1" t="s">
        <v>3118</v>
      </c>
      <c r="C560" s="2" t="s">
        <v>1744</v>
      </c>
      <c r="D560" s="2" t="s">
        <v>3119</v>
      </c>
      <c r="E560" s="1" t="s">
        <v>42</v>
      </c>
      <c r="F560" s="2" t="s">
        <v>723</v>
      </c>
      <c r="G560" s="2" t="s">
        <v>44</v>
      </c>
      <c r="H560" s="2" t="s">
        <v>483</v>
      </c>
      <c r="I560" s="1" t="s">
        <v>34</v>
      </c>
      <c r="J560" s="1" t="s">
        <v>56</v>
      </c>
      <c r="K560" s="1" t="s">
        <v>23</v>
      </c>
      <c r="L560" s="1" t="s">
        <v>24</v>
      </c>
      <c r="M560" s="2" t="s">
        <v>3120</v>
      </c>
    </row>
    <row r="561">
      <c r="A561" s="1" t="s">
        <v>3121</v>
      </c>
      <c r="B561" s="1" t="s">
        <v>3122</v>
      </c>
      <c r="C561" s="2" t="s">
        <v>1595</v>
      </c>
      <c r="D561" s="2" t="s">
        <v>3123</v>
      </c>
      <c r="E561" s="1" t="s">
        <v>42</v>
      </c>
      <c r="F561" s="2" t="s">
        <v>3124</v>
      </c>
      <c r="G561" s="2" t="s">
        <v>44</v>
      </c>
      <c r="H561" s="2" t="s">
        <v>95</v>
      </c>
      <c r="I561" s="1" t="s">
        <v>21</v>
      </c>
      <c r="J561" s="1" t="s">
        <v>73</v>
      </c>
      <c r="K561" s="1" t="s">
        <v>35</v>
      </c>
      <c r="L561" s="1" t="s">
        <v>24</v>
      </c>
      <c r="M561" s="2" t="s">
        <v>3125</v>
      </c>
    </row>
    <row r="562">
      <c r="A562" s="1" t="s">
        <v>3126</v>
      </c>
      <c r="B562" s="1" t="s">
        <v>3127</v>
      </c>
      <c r="C562" s="2" t="s">
        <v>1073</v>
      </c>
      <c r="D562" s="2" t="s">
        <v>3128</v>
      </c>
      <c r="E562" s="1" t="s">
        <v>30</v>
      </c>
      <c r="F562" s="2" t="s">
        <v>3129</v>
      </c>
      <c r="G562" s="2" t="s">
        <v>63</v>
      </c>
      <c r="H562" s="2" t="s">
        <v>54</v>
      </c>
      <c r="I562" s="1" t="s">
        <v>55</v>
      </c>
      <c r="J562" s="1" t="s">
        <v>45</v>
      </c>
      <c r="K562" s="1" t="s">
        <v>23</v>
      </c>
      <c r="L562" s="1" t="s">
        <v>24</v>
      </c>
      <c r="M562" s="2" t="s">
        <v>3130</v>
      </c>
    </row>
    <row r="563">
      <c r="A563" s="1" t="s">
        <v>3131</v>
      </c>
      <c r="B563" s="1" t="s">
        <v>3132</v>
      </c>
      <c r="C563" s="2" t="s">
        <v>3133</v>
      </c>
      <c r="D563" s="2" t="s">
        <v>3134</v>
      </c>
      <c r="E563" s="1" t="s">
        <v>52</v>
      </c>
      <c r="F563" s="2" t="s">
        <v>3135</v>
      </c>
      <c r="G563" s="2" t="s">
        <v>19</v>
      </c>
      <c r="H563" s="2" t="s">
        <v>20</v>
      </c>
      <c r="I563" s="1" t="s">
        <v>55</v>
      </c>
      <c r="J563" s="1" t="s">
        <v>22</v>
      </c>
      <c r="K563" s="1" t="s">
        <v>35</v>
      </c>
      <c r="L563" s="1" t="s">
        <v>36</v>
      </c>
      <c r="M563" s="2" t="s">
        <v>3136</v>
      </c>
    </row>
    <row r="564">
      <c r="A564" s="1" t="s">
        <v>3137</v>
      </c>
      <c r="B564" s="1" t="s">
        <v>3138</v>
      </c>
      <c r="C564" s="2" t="s">
        <v>2605</v>
      </c>
      <c r="D564" s="2" t="s">
        <v>3139</v>
      </c>
      <c r="E564" s="1" t="s">
        <v>52</v>
      </c>
      <c r="F564" s="2" t="s">
        <v>3140</v>
      </c>
      <c r="G564" s="2" t="s">
        <v>32</v>
      </c>
      <c r="H564" s="2" t="s">
        <v>518</v>
      </c>
      <c r="I564" s="1" t="s">
        <v>55</v>
      </c>
      <c r="J564" s="1" t="s">
        <v>22</v>
      </c>
      <c r="K564" s="1" t="s">
        <v>88</v>
      </c>
      <c r="L564" s="1" t="s">
        <v>46</v>
      </c>
      <c r="M564" s="2" t="s">
        <v>3141</v>
      </c>
    </row>
    <row r="565">
      <c r="A565" s="1" t="s">
        <v>3142</v>
      </c>
      <c r="B565" s="1" t="s">
        <v>3143</v>
      </c>
      <c r="C565" s="2" t="s">
        <v>2857</v>
      </c>
      <c r="D565" s="2" t="s">
        <v>3144</v>
      </c>
      <c r="E565" s="1" t="s">
        <v>52</v>
      </c>
      <c r="F565" s="2" t="s">
        <v>3145</v>
      </c>
      <c r="G565" s="2" t="s">
        <v>63</v>
      </c>
      <c r="H565" s="2" t="s">
        <v>95</v>
      </c>
      <c r="I565" s="1" t="s">
        <v>34</v>
      </c>
      <c r="J565" s="1" t="s">
        <v>73</v>
      </c>
      <c r="K565" s="1" t="s">
        <v>121</v>
      </c>
      <c r="L565" s="1" t="s">
        <v>46</v>
      </c>
      <c r="M565" s="2" t="s">
        <v>3146</v>
      </c>
    </row>
    <row r="566">
      <c r="A566" s="1" t="s">
        <v>3147</v>
      </c>
      <c r="B566" s="1" t="s">
        <v>3148</v>
      </c>
      <c r="C566" s="2" t="s">
        <v>2140</v>
      </c>
      <c r="D566" s="2" t="s">
        <v>3149</v>
      </c>
      <c r="E566" s="1" t="s">
        <v>42</v>
      </c>
      <c r="F566" s="2" t="s">
        <v>3150</v>
      </c>
      <c r="G566" s="2" t="s">
        <v>63</v>
      </c>
      <c r="H566" s="2" t="s">
        <v>194</v>
      </c>
      <c r="I566" s="1" t="s">
        <v>65</v>
      </c>
      <c r="J566" s="1" t="s">
        <v>22</v>
      </c>
      <c r="K566" s="1" t="s">
        <v>35</v>
      </c>
      <c r="L566" s="1" t="s">
        <v>46</v>
      </c>
      <c r="M566" s="2" t="s">
        <v>3151</v>
      </c>
    </row>
    <row r="567">
      <c r="A567" s="1" t="s">
        <v>3152</v>
      </c>
      <c r="B567" s="1" t="s">
        <v>3153</v>
      </c>
      <c r="C567" s="2" t="s">
        <v>3154</v>
      </c>
      <c r="D567" s="2" t="s">
        <v>3155</v>
      </c>
      <c r="E567" s="1" t="s">
        <v>17</v>
      </c>
      <c r="F567" s="2" t="s">
        <v>3156</v>
      </c>
      <c r="G567" s="2" t="s">
        <v>32</v>
      </c>
      <c r="H567" s="2" t="s">
        <v>128</v>
      </c>
      <c r="I567" s="1" t="s">
        <v>34</v>
      </c>
      <c r="J567" s="1" t="s">
        <v>56</v>
      </c>
      <c r="K567" s="1" t="s">
        <v>81</v>
      </c>
      <c r="L567" s="1" t="s">
        <v>46</v>
      </c>
      <c r="M567" s="2" t="s">
        <v>3157</v>
      </c>
    </row>
    <row r="568">
      <c r="A568" s="1" t="s">
        <v>3158</v>
      </c>
      <c r="B568" s="1" t="s">
        <v>3159</v>
      </c>
      <c r="C568" s="2" t="s">
        <v>892</v>
      </c>
      <c r="D568" s="2" t="s">
        <v>3160</v>
      </c>
      <c r="E568" s="1" t="s">
        <v>30</v>
      </c>
      <c r="F568" s="2" t="s">
        <v>1053</v>
      </c>
      <c r="G568" s="2" t="s">
        <v>19</v>
      </c>
      <c r="H568" s="2" t="s">
        <v>80</v>
      </c>
      <c r="I568" s="1" t="s">
        <v>34</v>
      </c>
      <c r="J568" s="1" t="s">
        <v>22</v>
      </c>
      <c r="K568" s="1" t="s">
        <v>121</v>
      </c>
      <c r="L568" s="1" t="s">
        <v>24</v>
      </c>
      <c r="M568" s="2" t="s">
        <v>3161</v>
      </c>
    </row>
    <row r="569">
      <c r="A569" s="1" t="s">
        <v>3162</v>
      </c>
      <c r="B569" s="1" t="s">
        <v>3163</v>
      </c>
      <c r="C569" s="2" t="s">
        <v>1291</v>
      </c>
      <c r="D569" s="2" t="s">
        <v>3164</v>
      </c>
      <c r="E569" s="1" t="s">
        <v>52</v>
      </c>
      <c r="F569" s="2" t="s">
        <v>3165</v>
      </c>
      <c r="G569" s="2" t="s">
        <v>32</v>
      </c>
      <c r="H569" s="2" t="s">
        <v>72</v>
      </c>
      <c r="I569" s="1" t="s">
        <v>21</v>
      </c>
      <c r="J569" s="1" t="s">
        <v>73</v>
      </c>
      <c r="K569" s="1" t="s">
        <v>23</v>
      </c>
      <c r="L569" s="1" t="s">
        <v>24</v>
      </c>
      <c r="M569" s="2" t="s">
        <v>3166</v>
      </c>
    </row>
    <row r="570">
      <c r="A570" s="1" t="s">
        <v>3167</v>
      </c>
      <c r="B570" s="1" t="s">
        <v>3168</v>
      </c>
      <c r="C570" s="2" t="s">
        <v>2431</v>
      </c>
      <c r="D570" s="2" t="s">
        <v>3169</v>
      </c>
      <c r="E570" s="1" t="s">
        <v>42</v>
      </c>
      <c r="F570" s="2" t="s">
        <v>566</v>
      </c>
      <c r="G570" s="2" t="s">
        <v>32</v>
      </c>
      <c r="H570" s="2" t="s">
        <v>326</v>
      </c>
      <c r="I570" s="1" t="s">
        <v>55</v>
      </c>
      <c r="J570" s="1" t="s">
        <v>56</v>
      </c>
      <c r="K570" s="1" t="s">
        <v>81</v>
      </c>
      <c r="L570" s="1" t="s">
        <v>24</v>
      </c>
      <c r="M570" s="2" t="s">
        <v>3170</v>
      </c>
    </row>
    <row r="571">
      <c r="A571" s="1" t="s">
        <v>3171</v>
      </c>
      <c r="B571" s="1" t="s">
        <v>3172</v>
      </c>
      <c r="C571" s="2" t="s">
        <v>1402</v>
      </c>
      <c r="D571" s="2" t="s">
        <v>3173</v>
      </c>
      <c r="E571" s="1" t="s">
        <v>30</v>
      </c>
      <c r="F571" s="2" t="s">
        <v>3174</v>
      </c>
      <c r="G571" s="2" t="s">
        <v>63</v>
      </c>
      <c r="H571" s="2" t="s">
        <v>54</v>
      </c>
      <c r="I571" s="1" t="s">
        <v>21</v>
      </c>
      <c r="J571" s="1" t="s">
        <v>22</v>
      </c>
      <c r="K571" s="1" t="s">
        <v>81</v>
      </c>
      <c r="L571" s="1" t="s">
        <v>24</v>
      </c>
      <c r="M571" s="2" t="s">
        <v>3175</v>
      </c>
    </row>
    <row r="572">
      <c r="A572" s="1" t="s">
        <v>3176</v>
      </c>
      <c r="B572" s="1" t="s">
        <v>3177</v>
      </c>
      <c r="C572" s="2" t="s">
        <v>3178</v>
      </c>
      <c r="D572" s="2" t="s">
        <v>3179</v>
      </c>
      <c r="E572" s="1" t="s">
        <v>30</v>
      </c>
      <c r="F572" s="2" t="s">
        <v>3180</v>
      </c>
      <c r="G572" s="2" t="s">
        <v>44</v>
      </c>
      <c r="H572" s="2" t="s">
        <v>326</v>
      </c>
      <c r="I572" s="1" t="s">
        <v>65</v>
      </c>
      <c r="J572" s="1" t="s">
        <v>22</v>
      </c>
      <c r="K572" s="1" t="s">
        <v>121</v>
      </c>
      <c r="L572" s="1" t="s">
        <v>46</v>
      </c>
      <c r="M572" s="2" t="s">
        <v>3181</v>
      </c>
    </row>
    <row r="573">
      <c r="A573" s="1" t="s">
        <v>3182</v>
      </c>
      <c r="B573" s="1" t="s">
        <v>3183</v>
      </c>
      <c r="C573" s="2" t="s">
        <v>868</v>
      </c>
      <c r="D573" s="2" t="s">
        <v>3184</v>
      </c>
      <c r="E573" s="1" t="s">
        <v>42</v>
      </c>
      <c r="F573" s="2" t="s">
        <v>3185</v>
      </c>
      <c r="G573" s="2" t="s">
        <v>19</v>
      </c>
      <c r="H573" s="2" t="s">
        <v>114</v>
      </c>
      <c r="I573" s="1" t="s">
        <v>21</v>
      </c>
      <c r="J573" s="1" t="s">
        <v>73</v>
      </c>
      <c r="K573" s="1" t="s">
        <v>23</v>
      </c>
      <c r="L573" s="1" t="s">
        <v>24</v>
      </c>
      <c r="M573" s="2" t="s">
        <v>3186</v>
      </c>
    </row>
    <row r="574">
      <c r="A574" s="1" t="s">
        <v>3187</v>
      </c>
      <c r="B574" s="1" t="s">
        <v>3188</v>
      </c>
      <c r="C574" s="2" t="s">
        <v>1905</v>
      </c>
      <c r="D574" s="2" t="s">
        <v>3189</v>
      </c>
      <c r="E574" s="1" t="s">
        <v>52</v>
      </c>
      <c r="F574" s="2" t="s">
        <v>3190</v>
      </c>
      <c r="G574" s="2" t="s">
        <v>63</v>
      </c>
      <c r="H574" s="2" t="s">
        <v>141</v>
      </c>
      <c r="I574" s="1" t="s">
        <v>34</v>
      </c>
      <c r="J574" s="1" t="s">
        <v>22</v>
      </c>
      <c r="K574" s="1" t="s">
        <v>23</v>
      </c>
      <c r="L574" s="1" t="s">
        <v>36</v>
      </c>
      <c r="M574" s="2" t="s">
        <v>3191</v>
      </c>
    </row>
    <row r="575">
      <c r="A575" s="1" t="s">
        <v>3192</v>
      </c>
      <c r="B575" s="1" t="s">
        <v>3193</v>
      </c>
      <c r="C575" s="2" t="s">
        <v>422</v>
      </c>
      <c r="D575" s="2" t="s">
        <v>3194</v>
      </c>
      <c r="E575" s="1" t="s">
        <v>30</v>
      </c>
      <c r="F575" s="2" t="s">
        <v>3195</v>
      </c>
      <c r="G575" s="2" t="s">
        <v>19</v>
      </c>
      <c r="H575" s="2" t="s">
        <v>95</v>
      </c>
      <c r="I575" s="1" t="s">
        <v>21</v>
      </c>
      <c r="J575" s="1" t="s">
        <v>73</v>
      </c>
      <c r="K575" s="1" t="s">
        <v>23</v>
      </c>
      <c r="L575" s="1" t="s">
        <v>46</v>
      </c>
      <c r="M575" s="2" t="s">
        <v>3196</v>
      </c>
    </row>
    <row r="576">
      <c r="A576" s="1" t="s">
        <v>3197</v>
      </c>
      <c r="B576" s="1" t="s">
        <v>3198</v>
      </c>
      <c r="C576" s="2" t="s">
        <v>230</v>
      </c>
      <c r="D576" s="2" t="s">
        <v>3199</v>
      </c>
      <c r="E576" s="1" t="s">
        <v>42</v>
      </c>
      <c r="F576" s="2" t="s">
        <v>3200</v>
      </c>
      <c r="G576" s="2" t="s">
        <v>63</v>
      </c>
      <c r="H576" s="2" t="s">
        <v>483</v>
      </c>
      <c r="I576" s="1" t="s">
        <v>55</v>
      </c>
      <c r="J576" s="1" t="s">
        <v>56</v>
      </c>
      <c r="K576" s="1" t="s">
        <v>23</v>
      </c>
      <c r="L576" s="1" t="s">
        <v>46</v>
      </c>
      <c r="M576" s="2" t="s">
        <v>3201</v>
      </c>
    </row>
    <row r="577">
      <c r="A577" s="1" t="s">
        <v>3202</v>
      </c>
      <c r="B577" s="1" t="s">
        <v>3203</v>
      </c>
      <c r="C577" s="2" t="s">
        <v>3204</v>
      </c>
      <c r="D577" s="2" t="s">
        <v>3205</v>
      </c>
      <c r="E577" s="1" t="s">
        <v>52</v>
      </c>
      <c r="F577" s="2" t="s">
        <v>3206</v>
      </c>
      <c r="G577" s="2" t="s">
        <v>32</v>
      </c>
      <c r="H577" s="2" t="s">
        <v>80</v>
      </c>
      <c r="I577" s="1" t="s">
        <v>21</v>
      </c>
      <c r="J577" s="1" t="s">
        <v>22</v>
      </c>
      <c r="K577" s="1" t="s">
        <v>35</v>
      </c>
      <c r="L577" s="1" t="s">
        <v>46</v>
      </c>
      <c r="M577" s="2" t="s">
        <v>3207</v>
      </c>
    </row>
    <row r="578">
      <c r="A578" s="1" t="s">
        <v>3208</v>
      </c>
      <c r="B578" s="1" t="s">
        <v>3209</v>
      </c>
      <c r="C578" s="2" t="s">
        <v>355</v>
      </c>
      <c r="D578" s="2" t="s">
        <v>3210</v>
      </c>
      <c r="E578" s="1" t="s">
        <v>42</v>
      </c>
      <c r="F578" s="2" t="s">
        <v>2241</v>
      </c>
      <c r="G578" s="2" t="s">
        <v>19</v>
      </c>
      <c r="H578" s="2" t="s">
        <v>20</v>
      </c>
      <c r="I578" s="1" t="s">
        <v>55</v>
      </c>
      <c r="J578" s="1" t="s">
        <v>22</v>
      </c>
      <c r="K578" s="1" t="s">
        <v>81</v>
      </c>
      <c r="L578" s="1" t="s">
        <v>36</v>
      </c>
      <c r="M578" s="2" t="s">
        <v>3211</v>
      </c>
    </row>
    <row r="579">
      <c r="A579" s="1" t="s">
        <v>3212</v>
      </c>
      <c r="B579" s="1" t="s">
        <v>3213</v>
      </c>
      <c r="C579" s="2" t="s">
        <v>903</v>
      </c>
      <c r="D579" s="2" t="s">
        <v>3214</v>
      </c>
      <c r="E579" s="1" t="s">
        <v>17</v>
      </c>
      <c r="F579" s="2" t="s">
        <v>3215</v>
      </c>
      <c r="G579" s="2" t="s">
        <v>63</v>
      </c>
      <c r="H579" s="2" t="s">
        <v>95</v>
      </c>
      <c r="I579" s="1" t="s">
        <v>55</v>
      </c>
      <c r="J579" s="1" t="s">
        <v>56</v>
      </c>
      <c r="K579" s="1" t="s">
        <v>23</v>
      </c>
      <c r="L579" s="1" t="s">
        <v>36</v>
      </c>
      <c r="M579" s="2" t="s">
        <v>3216</v>
      </c>
    </row>
    <row r="580">
      <c r="A580" s="1" t="s">
        <v>3217</v>
      </c>
      <c r="B580" s="1" t="s">
        <v>3218</v>
      </c>
      <c r="C580" s="2" t="s">
        <v>3219</v>
      </c>
      <c r="D580" s="2" t="s">
        <v>3220</v>
      </c>
      <c r="E580" s="1" t="s">
        <v>200</v>
      </c>
      <c r="F580" s="2" t="s">
        <v>3221</v>
      </c>
      <c r="G580" s="2" t="s">
        <v>19</v>
      </c>
      <c r="H580" s="2" t="s">
        <v>214</v>
      </c>
      <c r="I580" s="1" t="s">
        <v>21</v>
      </c>
      <c r="J580" s="1" t="s">
        <v>56</v>
      </c>
      <c r="K580" s="1" t="s">
        <v>81</v>
      </c>
      <c r="L580" s="1" t="s">
        <v>36</v>
      </c>
      <c r="M580" s="2" t="s">
        <v>3222</v>
      </c>
    </row>
    <row r="581">
      <c r="A581" s="1" t="s">
        <v>3223</v>
      </c>
      <c r="B581" s="1" t="s">
        <v>3224</v>
      </c>
      <c r="C581" s="2" t="s">
        <v>1857</v>
      </c>
      <c r="D581" s="2" t="s">
        <v>3225</v>
      </c>
      <c r="E581" s="1" t="s">
        <v>42</v>
      </c>
      <c r="F581" s="2" t="s">
        <v>3226</v>
      </c>
      <c r="G581" s="2" t="s">
        <v>44</v>
      </c>
      <c r="H581" s="2" t="s">
        <v>80</v>
      </c>
      <c r="I581" s="1" t="s">
        <v>34</v>
      </c>
      <c r="J581" s="1" t="s">
        <v>73</v>
      </c>
      <c r="K581" s="1" t="s">
        <v>121</v>
      </c>
      <c r="L581" s="1" t="s">
        <v>36</v>
      </c>
      <c r="M581" s="2" t="s">
        <v>3227</v>
      </c>
    </row>
    <row r="582">
      <c r="A582" s="1" t="s">
        <v>3228</v>
      </c>
      <c r="B582" s="1" t="s">
        <v>3229</v>
      </c>
      <c r="C582" s="2" t="s">
        <v>185</v>
      </c>
      <c r="D582" s="2" t="s">
        <v>3230</v>
      </c>
      <c r="E582" s="1" t="s">
        <v>30</v>
      </c>
      <c r="F582" s="2" t="s">
        <v>3231</v>
      </c>
      <c r="G582" s="2" t="s">
        <v>44</v>
      </c>
      <c r="H582" s="2" t="s">
        <v>141</v>
      </c>
      <c r="I582" s="1" t="s">
        <v>65</v>
      </c>
      <c r="J582" s="1" t="s">
        <v>56</v>
      </c>
      <c r="K582" s="1" t="s">
        <v>121</v>
      </c>
      <c r="L582" s="1" t="s">
        <v>46</v>
      </c>
      <c r="M582" s="2" t="s">
        <v>3232</v>
      </c>
    </row>
    <row r="583">
      <c r="A583" s="1" t="s">
        <v>3233</v>
      </c>
      <c r="B583" s="1" t="s">
        <v>3234</v>
      </c>
      <c r="C583" s="2" t="s">
        <v>2740</v>
      </c>
      <c r="D583" s="2" t="s">
        <v>3235</v>
      </c>
      <c r="E583" s="1" t="s">
        <v>42</v>
      </c>
      <c r="F583" s="2" t="s">
        <v>3236</v>
      </c>
      <c r="G583" s="2" t="s">
        <v>19</v>
      </c>
      <c r="H583" s="2" t="s">
        <v>64</v>
      </c>
      <c r="I583" s="1" t="s">
        <v>55</v>
      </c>
      <c r="J583" s="1" t="s">
        <v>73</v>
      </c>
      <c r="K583" s="1" t="s">
        <v>81</v>
      </c>
      <c r="L583" s="1" t="s">
        <v>24</v>
      </c>
      <c r="M583" s="2" t="s">
        <v>3237</v>
      </c>
    </row>
    <row r="584">
      <c r="A584" s="1" t="s">
        <v>3238</v>
      </c>
      <c r="B584" s="1" t="s">
        <v>3239</v>
      </c>
      <c r="C584" s="2" t="s">
        <v>99</v>
      </c>
      <c r="D584" s="2" t="s">
        <v>3240</v>
      </c>
      <c r="E584" s="1" t="s">
        <v>52</v>
      </c>
      <c r="F584" s="2" t="s">
        <v>3241</v>
      </c>
      <c r="G584" s="2" t="s">
        <v>19</v>
      </c>
      <c r="H584" s="2" t="s">
        <v>518</v>
      </c>
      <c r="I584" s="1" t="s">
        <v>34</v>
      </c>
      <c r="J584" s="1" t="s">
        <v>73</v>
      </c>
      <c r="K584" s="1" t="s">
        <v>35</v>
      </c>
      <c r="L584" s="1" t="s">
        <v>36</v>
      </c>
      <c r="M584" s="2" t="s">
        <v>3242</v>
      </c>
    </row>
    <row r="585">
      <c r="A585" s="1" t="s">
        <v>3243</v>
      </c>
      <c r="B585" s="1" t="s">
        <v>3244</v>
      </c>
      <c r="C585" s="2" t="s">
        <v>3204</v>
      </c>
      <c r="D585" s="2" t="s">
        <v>3245</v>
      </c>
      <c r="E585" s="1" t="s">
        <v>200</v>
      </c>
      <c r="F585" s="2" t="s">
        <v>3246</v>
      </c>
      <c r="G585" s="2" t="s">
        <v>19</v>
      </c>
      <c r="H585" s="2" t="s">
        <v>194</v>
      </c>
      <c r="I585" s="1" t="s">
        <v>21</v>
      </c>
      <c r="J585" s="1" t="s">
        <v>45</v>
      </c>
      <c r="K585" s="1" t="s">
        <v>35</v>
      </c>
      <c r="L585" s="1" t="s">
        <v>36</v>
      </c>
      <c r="M585" s="2" t="s">
        <v>3247</v>
      </c>
    </row>
    <row r="586">
      <c r="A586" s="1" t="s">
        <v>3248</v>
      </c>
      <c r="B586" s="1" t="s">
        <v>3249</v>
      </c>
      <c r="C586" s="2" t="s">
        <v>132</v>
      </c>
      <c r="D586" s="2" t="s">
        <v>3250</v>
      </c>
      <c r="E586" s="1" t="s">
        <v>30</v>
      </c>
      <c r="F586" s="2" t="s">
        <v>3251</v>
      </c>
      <c r="G586" s="2" t="s">
        <v>19</v>
      </c>
      <c r="H586" s="2" t="s">
        <v>345</v>
      </c>
      <c r="I586" s="1" t="s">
        <v>21</v>
      </c>
      <c r="J586" s="1" t="s">
        <v>73</v>
      </c>
      <c r="K586" s="1" t="s">
        <v>23</v>
      </c>
      <c r="L586" s="1" t="s">
        <v>24</v>
      </c>
      <c r="M586" s="2" t="s">
        <v>3252</v>
      </c>
    </row>
    <row r="587">
      <c r="A587" s="1" t="s">
        <v>3253</v>
      </c>
      <c r="B587" s="1" t="s">
        <v>3254</v>
      </c>
      <c r="C587" s="2" t="s">
        <v>552</v>
      </c>
      <c r="D587" s="2" t="s">
        <v>3255</v>
      </c>
      <c r="E587" s="1" t="s">
        <v>30</v>
      </c>
      <c r="F587" s="2" t="s">
        <v>3256</v>
      </c>
      <c r="G587" s="2" t="s">
        <v>63</v>
      </c>
      <c r="H587" s="2" t="s">
        <v>95</v>
      </c>
      <c r="I587" s="1" t="s">
        <v>55</v>
      </c>
      <c r="J587" s="1" t="s">
        <v>73</v>
      </c>
      <c r="K587" s="1" t="s">
        <v>23</v>
      </c>
      <c r="L587" s="1" t="s">
        <v>46</v>
      </c>
      <c r="M587" s="2" t="s">
        <v>3257</v>
      </c>
    </row>
    <row r="588">
      <c r="A588" s="1" t="s">
        <v>3258</v>
      </c>
      <c r="B588" s="1" t="s">
        <v>3259</v>
      </c>
      <c r="C588" s="2" t="s">
        <v>1944</v>
      </c>
      <c r="D588" s="2" t="s">
        <v>3260</v>
      </c>
      <c r="E588" s="1" t="s">
        <v>200</v>
      </c>
      <c r="F588" s="2" t="s">
        <v>3261</v>
      </c>
      <c r="G588" s="2" t="s">
        <v>32</v>
      </c>
      <c r="H588" s="2" t="s">
        <v>214</v>
      </c>
      <c r="I588" s="1" t="s">
        <v>34</v>
      </c>
      <c r="J588" s="1" t="s">
        <v>56</v>
      </c>
      <c r="K588" s="1" t="s">
        <v>88</v>
      </c>
      <c r="L588" s="1" t="s">
        <v>36</v>
      </c>
      <c r="M588" s="2" t="s">
        <v>3262</v>
      </c>
    </row>
    <row r="589">
      <c r="A589" s="1" t="s">
        <v>3263</v>
      </c>
      <c r="B589" s="1" t="s">
        <v>3264</v>
      </c>
      <c r="C589" s="2" t="s">
        <v>218</v>
      </c>
      <c r="D589" s="2" t="s">
        <v>3265</v>
      </c>
      <c r="E589" s="1" t="s">
        <v>52</v>
      </c>
      <c r="F589" s="2" t="s">
        <v>3266</v>
      </c>
      <c r="G589" s="2" t="s">
        <v>63</v>
      </c>
      <c r="H589" s="2" t="s">
        <v>194</v>
      </c>
      <c r="I589" s="1" t="s">
        <v>34</v>
      </c>
      <c r="J589" s="1" t="s">
        <v>22</v>
      </c>
      <c r="K589" s="1" t="s">
        <v>23</v>
      </c>
      <c r="L589" s="1" t="s">
        <v>36</v>
      </c>
      <c r="M589" s="2" t="s">
        <v>3267</v>
      </c>
    </row>
    <row r="590">
      <c r="A590" s="1" t="s">
        <v>3268</v>
      </c>
      <c r="B590" s="1" t="s">
        <v>3269</v>
      </c>
      <c r="C590" s="2" t="s">
        <v>1674</v>
      </c>
      <c r="D590" s="2" t="s">
        <v>3270</v>
      </c>
      <c r="E590" s="1" t="s">
        <v>30</v>
      </c>
      <c r="F590" s="2" t="s">
        <v>3271</v>
      </c>
      <c r="G590" s="2" t="s">
        <v>44</v>
      </c>
      <c r="H590" s="2" t="s">
        <v>33</v>
      </c>
      <c r="I590" s="1" t="s">
        <v>65</v>
      </c>
      <c r="J590" s="1" t="s">
        <v>73</v>
      </c>
      <c r="K590" s="1" t="s">
        <v>23</v>
      </c>
      <c r="L590" s="1" t="s">
        <v>46</v>
      </c>
      <c r="M590" s="2" t="s">
        <v>3272</v>
      </c>
    </row>
    <row r="591">
      <c r="A591" s="1" t="s">
        <v>3273</v>
      </c>
      <c r="B591" s="1" t="s">
        <v>3274</v>
      </c>
      <c r="C591" s="2" t="s">
        <v>3275</v>
      </c>
      <c r="D591" s="2" t="s">
        <v>3276</v>
      </c>
      <c r="E591" s="1" t="s">
        <v>30</v>
      </c>
      <c r="F591" s="2" t="s">
        <v>3277</v>
      </c>
      <c r="G591" s="2" t="s">
        <v>44</v>
      </c>
      <c r="H591" s="2" t="s">
        <v>33</v>
      </c>
      <c r="I591" s="1" t="s">
        <v>65</v>
      </c>
      <c r="J591" s="1" t="s">
        <v>45</v>
      </c>
      <c r="K591" s="1" t="s">
        <v>35</v>
      </c>
      <c r="L591" s="1" t="s">
        <v>46</v>
      </c>
      <c r="M591" s="2" t="s">
        <v>3278</v>
      </c>
    </row>
    <row r="592">
      <c r="A592" s="1" t="s">
        <v>3279</v>
      </c>
      <c r="B592" s="1" t="s">
        <v>3280</v>
      </c>
      <c r="C592" s="2" t="s">
        <v>2684</v>
      </c>
      <c r="D592" s="2" t="s">
        <v>3281</v>
      </c>
      <c r="E592" s="1" t="s">
        <v>42</v>
      </c>
      <c r="F592" s="2" t="s">
        <v>3282</v>
      </c>
      <c r="G592" s="2" t="s">
        <v>63</v>
      </c>
      <c r="H592" s="2" t="s">
        <v>214</v>
      </c>
      <c r="I592" s="1" t="s">
        <v>34</v>
      </c>
      <c r="J592" s="1" t="s">
        <v>73</v>
      </c>
      <c r="K592" s="1" t="s">
        <v>81</v>
      </c>
      <c r="L592" s="1" t="s">
        <v>46</v>
      </c>
      <c r="M592" s="2" t="s">
        <v>3283</v>
      </c>
    </row>
    <row r="593">
      <c r="A593" s="1" t="s">
        <v>3284</v>
      </c>
      <c r="B593" s="1" t="s">
        <v>3285</v>
      </c>
      <c r="C593" s="2" t="s">
        <v>1657</v>
      </c>
      <c r="D593" s="2" t="s">
        <v>3286</v>
      </c>
      <c r="E593" s="1" t="s">
        <v>200</v>
      </c>
      <c r="F593" s="2" t="s">
        <v>3287</v>
      </c>
      <c r="G593" s="2" t="s">
        <v>44</v>
      </c>
      <c r="H593" s="2" t="s">
        <v>72</v>
      </c>
      <c r="I593" s="1" t="s">
        <v>55</v>
      </c>
      <c r="J593" s="1" t="s">
        <v>56</v>
      </c>
      <c r="K593" s="1" t="s">
        <v>88</v>
      </c>
      <c r="L593" s="1" t="s">
        <v>36</v>
      </c>
      <c r="M593" s="2" t="s">
        <v>3288</v>
      </c>
    </row>
    <row r="594">
      <c r="A594" s="1" t="s">
        <v>3289</v>
      </c>
      <c r="B594" s="1" t="s">
        <v>3290</v>
      </c>
      <c r="C594" s="2" t="s">
        <v>230</v>
      </c>
      <c r="D594" s="2" t="s">
        <v>3291</v>
      </c>
      <c r="E594" s="1" t="s">
        <v>30</v>
      </c>
      <c r="F594" s="2" t="s">
        <v>3292</v>
      </c>
      <c r="G594" s="2" t="s">
        <v>63</v>
      </c>
      <c r="H594" s="2" t="s">
        <v>214</v>
      </c>
      <c r="I594" s="1" t="s">
        <v>21</v>
      </c>
      <c r="J594" s="1" t="s">
        <v>22</v>
      </c>
      <c r="K594" s="1" t="s">
        <v>81</v>
      </c>
      <c r="L594" s="1" t="s">
        <v>36</v>
      </c>
      <c r="M594" s="2" t="s">
        <v>3293</v>
      </c>
    </row>
    <row r="595">
      <c r="A595" s="1" t="s">
        <v>3294</v>
      </c>
      <c r="B595" s="1" t="s">
        <v>3295</v>
      </c>
      <c r="C595" s="2" t="s">
        <v>1016</v>
      </c>
      <c r="D595" s="2" t="s">
        <v>3296</v>
      </c>
      <c r="E595" s="1" t="s">
        <v>42</v>
      </c>
      <c r="F595" s="2" t="s">
        <v>3297</v>
      </c>
      <c r="G595" s="2" t="s">
        <v>44</v>
      </c>
      <c r="H595" s="2" t="s">
        <v>72</v>
      </c>
      <c r="I595" s="1" t="s">
        <v>34</v>
      </c>
      <c r="J595" s="1" t="s">
        <v>73</v>
      </c>
      <c r="K595" s="1" t="s">
        <v>81</v>
      </c>
      <c r="L595" s="1" t="s">
        <v>46</v>
      </c>
      <c r="M595" s="2" t="s">
        <v>3298</v>
      </c>
    </row>
    <row r="596">
      <c r="A596" s="1" t="s">
        <v>3299</v>
      </c>
      <c r="B596" s="1" t="s">
        <v>3300</v>
      </c>
      <c r="C596" s="2" t="s">
        <v>1766</v>
      </c>
      <c r="D596" s="2" t="s">
        <v>3301</v>
      </c>
      <c r="E596" s="1" t="s">
        <v>30</v>
      </c>
      <c r="F596" s="2" t="s">
        <v>3302</v>
      </c>
      <c r="G596" s="2" t="s">
        <v>32</v>
      </c>
      <c r="H596" s="2" t="s">
        <v>80</v>
      </c>
      <c r="I596" s="1" t="s">
        <v>21</v>
      </c>
      <c r="J596" s="1" t="s">
        <v>45</v>
      </c>
      <c r="K596" s="1" t="s">
        <v>81</v>
      </c>
      <c r="L596" s="1" t="s">
        <v>24</v>
      </c>
      <c r="M596" s="2" t="s">
        <v>3303</v>
      </c>
    </row>
    <row r="597">
      <c r="A597" s="1" t="s">
        <v>3304</v>
      </c>
      <c r="B597" s="1" t="s">
        <v>3305</v>
      </c>
      <c r="C597" s="2" t="s">
        <v>2282</v>
      </c>
      <c r="D597" s="2" t="s">
        <v>3306</v>
      </c>
      <c r="E597" s="1" t="s">
        <v>30</v>
      </c>
      <c r="F597" s="2" t="s">
        <v>3307</v>
      </c>
      <c r="G597" s="2" t="s">
        <v>19</v>
      </c>
      <c r="H597" s="2" t="s">
        <v>20</v>
      </c>
      <c r="I597" s="1" t="s">
        <v>55</v>
      </c>
      <c r="J597" s="1" t="s">
        <v>22</v>
      </c>
      <c r="K597" s="1" t="s">
        <v>23</v>
      </c>
      <c r="L597" s="1" t="s">
        <v>46</v>
      </c>
      <c r="M597" s="2" t="s">
        <v>3308</v>
      </c>
    </row>
    <row r="598">
      <c r="A598" s="1" t="s">
        <v>3309</v>
      </c>
      <c r="B598" s="1" t="s">
        <v>3310</v>
      </c>
      <c r="C598" s="2" t="s">
        <v>835</v>
      </c>
      <c r="D598" s="2" t="s">
        <v>3311</v>
      </c>
      <c r="E598" s="1" t="s">
        <v>52</v>
      </c>
      <c r="F598" s="2" t="s">
        <v>3312</v>
      </c>
      <c r="G598" s="2" t="s">
        <v>44</v>
      </c>
      <c r="H598" s="2" t="s">
        <v>326</v>
      </c>
      <c r="I598" s="1" t="s">
        <v>55</v>
      </c>
      <c r="J598" s="1" t="s">
        <v>56</v>
      </c>
      <c r="K598" s="1" t="s">
        <v>121</v>
      </c>
      <c r="L598" s="1" t="s">
        <v>24</v>
      </c>
      <c r="M598" s="2" t="s">
        <v>3313</v>
      </c>
    </row>
    <row r="599">
      <c r="A599" s="1" t="s">
        <v>3314</v>
      </c>
      <c r="B599" s="1" t="s">
        <v>3315</v>
      </c>
      <c r="C599" s="2" t="s">
        <v>198</v>
      </c>
      <c r="D599" s="2" t="s">
        <v>3316</v>
      </c>
      <c r="E599" s="1" t="s">
        <v>30</v>
      </c>
      <c r="F599" s="2" t="s">
        <v>3317</v>
      </c>
      <c r="G599" s="2" t="s">
        <v>63</v>
      </c>
      <c r="H599" s="2" t="s">
        <v>80</v>
      </c>
      <c r="I599" s="1" t="s">
        <v>21</v>
      </c>
      <c r="J599" s="1" t="s">
        <v>45</v>
      </c>
      <c r="K599" s="1" t="s">
        <v>23</v>
      </c>
      <c r="L599" s="1" t="s">
        <v>46</v>
      </c>
      <c r="M599" s="2" t="s">
        <v>3318</v>
      </c>
    </row>
    <row r="600">
      <c r="A600" s="1" t="s">
        <v>3319</v>
      </c>
      <c r="B600" s="1" t="s">
        <v>3320</v>
      </c>
      <c r="C600" s="2" t="s">
        <v>3321</v>
      </c>
      <c r="D600" s="2" t="s">
        <v>3322</v>
      </c>
      <c r="E600" s="1" t="s">
        <v>52</v>
      </c>
      <c r="F600" s="2" t="s">
        <v>3323</v>
      </c>
      <c r="G600" s="2" t="s">
        <v>19</v>
      </c>
      <c r="H600" s="2" t="s">
        <v>72</v>
      </c>
      <c r="I600" s="1" t="s">
        <v>55</v>
      </c>
      <c r="J600" s="1" t="s">
        <v>22</v>
      </c>
      <c r="K600" s="1" t="s">
        <v>35</v>
      </c>
      <c r="L600" s="1" t="s">
        <v>24</v>
      </c>
      <c r="M600" s="2" t="s">
        <v>3324</v>
      </c>
    </row>
    <row r="601">
      <c r="A601" s="1" t="s">
        <v>3325</v>
      </c>
      <c r="B601" s="1" t="s">
        <v>3326</v>
      </c>
      <c r="C601" s="2" t="s">
        <v>1899</v>
      </c>
      <c r="D601" s="2" t="s">
        <v>3327</v>
      </c>
      <c r="E601" s="1" t="s">
        <v>17</v>
      </c>
      <c r="F601" s="2" t="s">
        <v>3328</v>
      </c>
      <c r="G601" s="2" t="s">
        <v>63</v>
      </c>
      <c r="H601" s="2" t="s">
        <v>54</v>
      </c>
      <c r="I601" s="1" t="s">
        <v>21</v>
      </c>
      <c r="J601" s="1" t="s">
        <v>73</v>
      </c>
      <c r="K601" s="1" t="s">
        <v>121</v>
      </c>
      <c r="L601" s="1" t="s">
        <v>24</v>
      </c>
      <c r="M601" s="2" t="s">
        <v>3329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12.63"/>
    <col customWidth="1" min="24" max="24" width="13.63"/>
  </cols>
  <sheetData>
    <row r="1" ht="61.5" customHeight="1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5" t="s">
        <v>5</v>
      </c>
      <c r="G1" s="6" t="s">
        <v>6</v>
      </c>
      <c r="H1" s="7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5" t="s">
        <v>12</v>
      </c>
      <c r="N1" s="8" t="s">
        <v>3330</v>
      </c>
      <c r="O1" s="9" t="s">
        <v>3331</v>
      </c>
      <c r="P1" s="9" t="s">
        <v>3332</v>
      </c>
      <c r="Q1" s="9" t="s">
        <v>3333</v>
      </c>
      <c r="R1" s="9" t="s">
        <v>3334</v>
      </c>
      <c r="S1" s="9" t="s">
        <v>3335</v>
      </c>
      <c r="T1" s="9" t="s">
        <v>3336</v>
      </c>
      <c r="U1" s="9" t="s">
        <v>3337</v>
      </c>
      <c r="V1" s="9" t="s">
        <v>3338</v>
      </c>
      <c r="W1" s="9" t="s">
        <v>3339</v>
      </c>
      <c r="X1" s="9" t="s">
        <v>3340</v>
      </c>
      <c r="Y1" s="9" t="s">
        <v>3341</v>
      </c>
      <c r="Z1" s="9" t="s">
        <v>3342</v>
      </c>
    </row>
    <row r="2">
      <c r="A2" s="3" t="s">
        <v>13</v>
      </c>
      <c r="B2" s="3" t="s">
        <v>14</v>
      </c>
      <c r="C2" s="4">
        <v>45099.0</v>
      </c>
      <c r="D2" s="10" t="s">
        <v>16</v>
      </c>
      <c r="E2" s="3" t="s">
        <v>17</v>
      </c>
      <c r="F2" s="5">
        <v>1498.0</v>
      </c>
      <c r="G2" s="6">
        <v>4.0</v>
      </c>
      <c r="H2" s="7">
        <v>0.16</v>
      </c>
      <c r="I2" s="3" t="s">
        <v>21</v>
      </c>
      <c r="J2" s="3" t="s">
        <v>22</v>
      </c>
      <c r="K2" s="3" t="s">
        <v>23</v>
      </c>
      <c r="L2" s="3" t="s">
        <v>24</v>
      </c>
      <c r="M2" s="5">
        <v>5033.28</v>
      </c>
      <c r="N2" s="11">
        <f t="shared" ref="N2:N601" si="1">F2*G2</f>
        <v>5992</v>
      </c>
      <c r="O2" s="12">
        <f>IFERROR(__xludf.DUMMYFUNCTION("COUNTUNIQUE(A2:A601)"),600.0)</f>
        <v>600</v>
      </c>
      <c r="P2" s="12">
        <f>IFERROR(__xludf.DUMMYFUNCTION("COUNTUNIQUE(B2:B601)"),600.0)</f>
        <v>600</v>
      </c>
      <c r="Q2" s="13">
        <f>sum(G2:G601)</f>
        <v>1499</v>
      </c>
      <c r="R2" s="14">
        <f>SUM(M2:M601)</f>
        <v>6604337.54</v>
      </c>
      <c r="S2" s="14">
        <f>AVERAGE(M2:M601)</f>
        <v>11007.22923</v>
      </c>
      <c r="T2" s="11">
        <f>SUM(N2:N601)</f>
        <v>7502409</v>
      </c>
      <c r="U2" s="11">
        <f>AVERAGE(N2:N601)</f>
        <v>12504.015</v>
      </c>
      <c r="V2" s="15">
        <f>AVERAGE(H2:H601)</f>
        <v>0.1213333333</v>
      </c>
      <c r="W2" s="14">
        <f>MEDIAN(M2:M601)</f>
        <v>8113.365</v>
      </c>
      <c r="X2" s="13">
        <f>AVERAGE(G2:G601)</f>
        <v>2.498333333</v>
      </c>
      <c r="Y2" s="13">
        <f>MEDIAN(G2:G601)</f>
        <v>2</v>
      </c>
      <c r="Z2" s="12">
        <f>MODE(G2:G601)</f>
        <v>2</v>
      </c>
    </row>
    <row r="3">
      <c r="A3" s="3" t="s">
        <v>26</v>
      </c>
      <c r="B3" s="3" t="s">
        <v>27</v>
      </c>
      <c r="C3" s="4">
        <v>44974.0</v>
      </c>
      <c r="D3" s="10" t="s">
        <v>29</v>
      </c>
      <c r="E3" s="3" t="s">
        <v>30</v>
      </c>
      <c r="F3" s="5">
        <v>6723.0</v>
      </c>
      <c r="G3" s="6">
        <v>3.0</v>
      </c>
      <c r="H3" s="7">
        <v>0.07</v>
      </c>
      <c r="I3" s="3" t="s">
        <v>34</v>
      </c>
      <c r="J3" s="3" t="s">
        <v>22</v>
      </c>
      <c r="K3" s="3" t="s">
        <v>35</v>
      </c>
      <c r="L3" s="3" t="s">
        <v>36</v>
      </c>
      <c r="M3" s="5">
        <v>18757.17</v>
      </c>
      <c r="N3" s="11">
        <f t="shared" si="1"/>
        <v>20169</v>
      </c>
    </row>
    <row r="4">
      <c r="A4" s="3" t="s">
        <v>38</v>
      </c>
      <c r="B4" s="3" t="s">
        <v>39</v>
      </c>
      <c r="C4" s="4">
        <v>45044.0</v>
      </c>
      <c r="D4" s="10" t="s">
        <v>41</v>
      </c>
      <c r="E4" s="3" t="s">
        <v>42</v>
      </c>
      <c r="F4" s="5">
        <v>6570.0</v>
      </c>
      <c r="G4" s="6">
        <v>1.0</v>
      </c>
      <c r="H4" s="7">
        <v>0.07</v>
      </c>
      <c r="I4" s="3" t="s">
        <v>21</v>
      </c>
      <c r="J4" s="3" t="s">
        <v>45</v>
      </c>
      <c r="K4" s="3" t="s">
        <v>23</v>
      </c>
      <c r="L4" s="3" t="s">
        <v>46</v>
      </c>
      <c r="M4" s="5">
        <v>6110.1</v>
      </c>
      <c r="N4" s="11">
        <f t="shared" si="1"/>
        <v>6570</v>
      </c>
      <c r="O4" s="16" t="s">
        <v>3343</v>
      </c>
    </row>
    <row r="5">
      <c r="A5" s="3" t="s">
        <v>48</v>
      </c>
      <c r="B5" s="3" t="s">
        <v>49</v>
      </c>
      <c r="C5" s="4">
        <v>45119.0</v>
      </c>
      <c r="D5" s="10" t="s">
        <v>51</v>
      </c>
      <c r="E5" s="3" t="s">
        <v>52</v>
      </c>
      <c r="F5" s="5">
        <v>6625.0</v>
      </c>
      <c r="G5" s="6">
        <v>3.0</v>
      </c>
      <c r="H5" s="7">
        <v>0.08</v>
      </c>
      <c r="I5" s="3" t="s">
        <v>55</v>
      </c>
      <c r="J5" s="3" t="s">
        <v>56</v>
      </c>
      <c r="K5" s="3" t="s">
        <v>23</v>
      </c>
      <c r="L5" s="3" t="s">
        <v>46</v>
      </c>
      <c r="M5" s="5">
        <v>18285.0</v>
      </c>
      <c r="N5" s="11">
        <f t="shared" si="1"/>
        <v>19875</v>
      </c>
    </row>
    <row r="6">
      <c r="A6" s="3" t="s">
        <v>58</v>
      </c>
      <c r="B6" s="3" t="s">
        <v>59</v>
      </c>
      <c r="C6" s="4">
        <v>45250.0</v>
      </c>
      <c r="D6" s="10" t="s">
        <v>61</v>
      </c>
      <c r="E6" s="3" t="s">
        <v>42</v>
      </c>
      <c r="F6" s="5">
        <v>1570.0</v>
      </c>
      <c r="G6" s="6">
        <v>2.0</v>
      </c>
      <c r="H6" s="7">
        <v>0.11</v>
      </c>
      <c r="I6" s="3" t="s">
        <v>65</v>
      </c>
      <c r="J6" s="3" t="s">
        <v>22</v>
      </c>
      <c r="K6" s="3" t="s">
        <v>23</v>
      </c>
      <c r="L6" s="3" t="s">
        <v>24</v>
      </c>
      <c r="M6" s="5">
        <v>2794.6</v>
      </c>
      <c r="N6" s="11">
        <f t="shared" si="1"/>
        <v>3140</v>
      </c>
      <c r="O6" s="16" t="s">
        <v>3344</v>
      </c>
    </row>
    <row r="7">
      <c r="A7" s="3" t="s">
        <v>67</v>
      </c>
      <c r="B7" s="3" t="s">
        <v>68</v>
      </c>
      <c r="C7" s="4">
        <v>45178.0</v>
      </c>
      <c r="D7" s="10" t="s">
        <v>70</v>
      </c>
      <c r="E7" s="3" t="s">
        <v>42</v>
      </c>
      <c r="F7" s="5">
        <v>8470.0</v>
      </c>
      <c r="G7" s="6">
        <v>2.0</v>
      </c>
      <c r="H7" s="7">
        <v>0.09</v>
      </c>
      <c r="I7" s="3" t="s">
        <v>65</v>
      </c>
      <c r="J7" s="3" t="s">
        <v>73</v>
      </c>
      <c r="K7" s="3" t="s">
        <v>23</v>
      </c>
      <c r="L7" s="3" t="s">
        <v>46</v>
      </c>
      <c r="M7" s="5">
        <v>15415.4</v>
      </c>
      <c r="N7" s="11">
        <f t="shared" si="1"/>
        <v>16940</v>
      </c>
    </row>
    <row r="8">
      <c r="A8" s="3" t="s">
        <v>75</v>
      </c>
      <c r="B8" s="3" t="s">
        <v>76</v>
      </c>
      <c r="C8" s="4">
        <v>45122.0</v>
      </c>
      <c r="D8" s="10" t="s">
        <v>78</v>
      </c>
      <c r="E8" s="3" t="s">
        <v>30</v>
      </c>
      <c r="F8" s="5">
        <v>3109.0</v>
      </c>
      <c r="G8" s="6">
        <v>2.0</v>
      </c>
      <c r="H8" s="7">
        <v>0.12</v>
      </c>
      <c r="I8" s="3" t="s">
        <v>55</v>
      </c>
      <c r="J8" s="3" t="s">
        <v>56</v>
      </c>
      <c r="K8" s="3" t="s">
        <v>81</v>
      </c>
      <c r="L8" s="3" t="s">
        <v>36</v>
      </c>
      <c r="M8" s="5">
        <v>5471.84</v>
      </c>
      <c r="N8" s="11">
        <f t="shared" si="1"/>
        <v>6218</v>
      </c>
    </row>
    <row r="9">
      <c r="A9" s="3" t="s">
        <v>83</v>
      </c>
      <c r="B9" s="3" t="s">
        <v>84</v>
      </c>
      <c r="C9" s="4">
        <v>45286.0</v>
      </c>
      <c r="D9" s="10" t="s">
        <v>86</v>
      </c>
      <c r="E9" s="3" t="s">
        <v>52</v>
      </c>
      <c r="F9" s="5">
        <v>8380.0</v>
      </c>
      <c r="G9" s="6">
        <v>2.0</v>
      </c>
      <c r="H9" s="7">
        <v>0.16</v>
      </c>
      <c r="I9" s="3" t="s">
        <v>21</v>
      </c>
      <c r="J9" s="3" t="s">
        <v>45</v>
      </c>
      <c r="K9" s="3" t="s">
        <v>88</v>
      </c>
      <c r="L9" s="3" t="s">
        <v>24</v>
      </c>
      <c r="M9" s="5">
        <v>14078.4</v>
      </c>
      <c r="N9" s="11">
        <f t="shared" si="1"/>
        <v>16760</v>
      </c>
    </row>
    <row r="10">
      <c r="A10" s="3" t="s">
        <v>90</v>
      </c>
      <c r="B10" s="3" t="s">
        <v>91</v>
      </c>
      <c r="C10" s="4">
        <v>44936.0</v>
      </c>
      <c r="D10" s="10" t="s">
        <v>93</v>
      </c>
      <c r="E10" s="3" t="s">
        <v>42</v>
      </c>
      <c r="F10" s="5">
        <v>2665.0</v>
      </c>
      <c r="G10" s="6">
        <v>3.0</v>
      </c>
      <c r="H10" s="7">
        <v>0.06</v>
      </c>
      <c r="I10" s="3" t="s">
        <v>55</v>
      </c>
      <c r="J10" s="3" t="s">
        <v>45</v>
      </c>
      <c r="K10" s="3" t="s">
        <v>88</v>
      </c>
      <c r="L10" s="3" t="s">
        <v>46</v>
      </c>
      <c r="M10" s="5">
        <v>7515.3</v>
      </c>
      <c r="N10" s="11">
        <f t="shared" si="1"/>
        <v>7995</v>
      </c>
    </row>
    <row r="11">
      <c r="A11" s="3" t="s">
        <v>97</v>
      </c>
      <c r="B11" s="3" t="s">
        <v>98</v>
      </c>
      <c r="C11" s="4">
        <v>45138.0</v>
      </c>
      <c r="D11" s="10" t="s">
        <v>100</v>
      </c>
      <c r="E11" s="3" t="s">
        <v>42</v>
      </c>
      <c r="F11" s="5">
        <v>7777.0</v>
      </c>
      <c r="G11" s="6">
        <v>1.0</v>
      </c>
      <c r="H11" s="7">
        <v>0.08</v>
      </c>
      <c r="I11" s="3" t="s">
        <v>55</v>
      </c>
      <c r="J11" s="3" t="s">
        <v>73</v>
      </c>
      <c r="K11" s="3" t="s">
        <v>81</v>
      </c>
      <c r="L11" s="3" t="s">
        <v>36</v>
      </c>
      <c r="M11" s="5">
        <v>7154.84</v>
      </c>
      <c r="N11" s="11">
        <f t="shared" si="1"/>
        <v>7777</v>
      </c>
    </row>
    <row r="12">
      <c r="A12" s="3" t="s">
        <v>103</v>
      </c>
      <c r="B12" s="3" t="s">
        <v>104</v>
      </c>
      <c r="C12" s="4">
        <v>45204.0</v>
      </c>
      <c r="D12" s="10" t="s">
        <v>106</v>
      </c>
      <c r="E12" s="3" t="s">
        <v>17</v>
      </c>
      <c r="F12" s="5">
        <v>1049.0</v>
      </c>
      <c r="G12" s="6">
        <v>2.0</v>
      </c>
      <c r="H12" s="7">
        <v>0.06</v>
      </c>
      <c r="I12" s="3" t="s">
        <v>34</v>
      </c>
      <c r="J12" s="3" t="s">
        <v>73</v>
      </c>
      <c r="K12" s="3" t="s">
        <v>35</v>
      </c>
      <c r="L12" s="3" t="s">
        <v>46</v>
      </c>
      <c r="M12" s="5">
        <v>1972.12</v>
      </c>
      <c r="N12" s="11">
        <f t="shared" si="1"/>
        <v>2098</v>
      </c>
    </row>
    <row r="13">
      <c r="A13" s="3" t="s">
        <v>109</v>
      </c>
      <c r="B13" s="3" t="s">
        <v>110</v>
      </c>
      <c r="C13" s="4">
        <v>45169.0</v>
      </c>
      <c r="D13" s="10" t="s">
        <v>112</v>
      </c>
      <c r="E13" s="3" t="s">
        <v>42</v>
      </c>
      <c r="F13" s="5">
        <v>4801.0</v>
      </c>
      <c r="G13" s="6">
        <v>3.0</v>
      </c>
      <c r="H13" s="7">
        <v>0.14</v>
      </c>
      <c r="I13" s="3" t="s">
        <v>34</v>
      </c>
      <c r="J13" s="3" t="s">
        <v>73</v>
      </c>
      <c r="K13" s="3" t="s">
        <v>23</v>
      </c>
      <c r="L13" s="3" t="s">
        <v>46</v>
      </c>
      <c r="M13" s="5">
        <v>12386.58</v>
      </c>
      <c r="N13" s="11">
        <f t="shared" si="1"/>
        <v>14403</v>
      </c>
    </row>
    <row r="14">
      <c r="A14" s="3" t="s">
        <v>116</v>
      </c>
      <c r="B14" s="3" t="s">
        <v>117</v>
      </c>
      <c r="C14" s="4">
        <v>45219.0</v>
      </c>
      <c r="D14" s="10" t="s">
        <v>119</v>
      </c>
      <c r="E14" s="3" t="s">
        <v>52</v>
      </c>
      <c r="F14" s="5">
        <v>3726.0</v>
      </c>
      <c r="G14" s="6">
        <v>4.0</v>
      </c>
      <c r="H14" s="7">
        <v>0.09</v>
      </c>
      <c r="I14" s="3" t="s">
        <v>65</v>
      </c>
      <c r="J14" s="3" t="s">
        <v>56</v>
      </c>
      <c r="K14" s="3" t="s">
        <v>121</v>
      </c>
      <c r="L14" s="3" t="s">
        <v>24</v>
      </c>
      <c r="M14" s="5">
        <v>13562.64</v>
      </c>
      <c r="N14" s="11">
        <f t="shared" si="1"/>
        <v>14904</v>
      </c>
    </row>
    <row r="15">
      <c r="A15" s="3" t="s">
        <v>123</v>
      </c>
      <c r="B15" s="3" t="s">
        <v>124</v>
      </c>
      <c r="C15" s="4">
        <v>45014.0</v>
      </c>
      <c r="D15" s="10" t="s">
        <v>126</v>
      </c>
      <c r="E15" s="3" t="s">
        <v>30</v>
      </c>
      <c r="F15" s="5">
        <v>7659.0</v>
      </c>
      <c r="G15" s="6">
        <v>2.0</v>
      </c>
      <c r="H15" s="7">
        <v>0.18</v>
      </c>
      <c r="I15" s="3" t="s">
        <v>21</v>
      </c>
      <c r="J15" s="3" t="s">
        <v>22</v>
      </c>
      <c r="K15" s="3" t="s">
        <v>81</v>
      </c>
      <c r="L15" s="3" t="s">
        <v>24</v>
      </c>
      <c r="M15" s="5">
        <v>12560.76</v>
      </c>
      <c r="N15" s="11">
        <f t="shared" si="1"/>
        <v>15318</v>
      </c>
    </row>
    <row r="16">
      <c r="A16" s="3" t="s">
        <v>130</v>
      </c>
      <c r="B16" s="3" t="s">
        <v>131</v>
      </c>
      <c r="C16" s="4">
        <v>44997.0</v>
      </c>
      <c r="D16" s="10" t="s">
        <v>133</v>
      </c>
      <c r="E16" s="3" t="s">
        <v>30</v>
      </c>
      <c r="F16" s="5">
        <v>9819.0</v>
      </c>
      <c r="G16" s="6">
        <v>4.0</v>
      </c>
      <c r="H16" s="7">
        <v>0.11</v>
      </c>
      <c r="I16" s="3" t="s">
        <v>34</v>
      </c>
      <c r="J16" s="3" t="s">
        <v>45</v>
      </c>
      <c r="K16" s="3" t="s">
        <v>88</v>
      </c>
      <c r="L16" s="3" t="s">
        <v>24</v>
      </c>
      <c r="M16" s="5">
        <v>34955.64</v>
      </c>
      <c r="N16" s="11">
        <f t="shared" si="1"/>
        <v>39276</v>
      </c>
    </row>
    <row r="17">
      <c r="A17" s="3" t="s">
        <v>136</v>
      </c>
      <c r="B17" s="3" t="s">
        <v>137</v>
      </c>
      <c r="C17" s="4">
        <v>45015.0</v>
      </c>
      <c r="D17" s="10" t="s">
        <v>139</v>
      </c>
      <c r="E17" s="3" t="s">
        <v>52</v>
      </c>
      <c r="F17" s="5">
        <v>2537.0</v>
      </c>
      <c r="G17" s="6">
        <v>2.0</v>
      </c>
      <c r="H17" s="7">
        <v>0.1</v>
      </c>
      <c r="I17" s="3" t="s">
        <v>55</v>
      </c>
      <c r="J17" s="3" t="s">
        <v>73</v>
      </c>
      <c r="K17" s="3" t="s">
        <v>121</v>
      </c>
      <c r="L17" s="3" t="s">
        <v>46</v>
      </c>
      <c r="M17" s="5">
        <v>4566.6</v>
      </c>
      <c r="N17" s="11">
        <f t="shared" si="1"/>
        <v>5074</v>
      </c>
    </row>
    <row r="18">
      <c r="A18" s="3" t="s">
        <v>143</v>
      </c>
      <c r="B18" s="3" t="s">
        <v>144</v>
      </c>
      <c r="C18" s="4">
        <v>45241.0</v>
      </c>
      <c r="D18" s="10" t="s">
        <v>146</v>
      </c>
      <c r="E18" s="3" t="s">
        <v>17</v>
      </c>
      <c r="F18" s="5">
        <v>759.0</v>
      </c>
      <c r="G18" s="6">
        <v>2.0</v>
      </c>
      <c r="H18" s="7">
        <v>0.09</v>
      </c>
      <c r="I18" s="3" t="s">
        <v>55</v>
      </c>
      <c r="J18" s="3" t="s">
        <v>56</v>
      </c>
      <c r="K18" s="3" t="s">
        <v>35</v>
      </c>
      <c r="L18" s="3" t="s">
        <v>46</v>
      </c>
      <c r="M18" s="5">
        <v>1381.38</v>
      </c>
      <c r="N18" s="11">
        <f t="shared" si="1"/>
        <v>1518</v>
      </c>
    </row>
    <row r="19">
      <c r="A19" s="3" t="s">
        <v>149</v>
      </c>
      <c r="B19" s="3" t="s">
        <v>150</v>
      </c>
      <c r="C19" s="4">
        <v>45120.0</v>
      </c>
      <c r="D19" s="10" t="s">
        <v>152</v>
      </c>
      <c r="E19" s="3" t="s">
        <v>17</v>
      </c>
      <c r="F19" s="5">
        <v>7686.0</v>
      </c>
      <c r="G19" s="6">
        <v>3.0</v>
      </c>
      <c r="H19" s="7">
        <v>0.07</v>
      </c>
      <c r="I19" s="3" t="s">
        <v>65</v>
      </c>
      <c r="J19" s="3" t="s">
        <v>73</v>
      </c>
      <c r="K19" s="3" t="s">
        <v>88</v>
      </c>
      <c r="L19" s="3" t="s">
        <v>36</v>
      </c>
      <c r="M19" s="5">
        <v>21443.94</v>
      </c>
      <c r="N19" s="11">
        <f t="shared" si="1"/>
        <v>23058</v>
      </c>
    </row>
    <row r="20">
      <c r="A20" s="3" t="s">
        <v>155</v>
      </c>
      <c r="B20" s="3" t="s">
        <v>156</v>
      </c>
      <c r="C20" s="4">
        <v>44966.0</v>
      </c>
      <c r="D20" s="10" t="s">
        <v>158</v>
      </c>
      <c r="E20" s="3" t="s">
        <v>17</v>
      </c>
      <c r="F20" s="5">
        <v>6111.0</v>
      </c>
      <c r="G20" s="6">
        <v>1.0</v>
      </c>
      <c r="H20" s="7">
        <v>0.07</v>
      </c>
      <c r="I20" s="3" t="s">
        <v>21</v>
      </c>
      <c r="J20" s="3" t="s">
        <v>56</v>
      </c>
      <c r="K20" s="3" t="s">
        <v>121</v>
      </c>
      <c r="L20" s="3" t="s">
        <v>24</v>
      </c>
      <c r="M20" s="5">
        <v>5683.23</v>
      </c>
      <c r="N20" s="11">
        <f t="shared" si="1"/>
        <v>6111</v>
      </c>
    </row>
    <row r="21">
      <c r="A21" s="3" t="s">
        <v>161</v>
      </c>
      <c r="B21" s="3" t="s">
        <v>162</v>
      </c>
      <c r="C21" s="4">
        <v>45014.0</v>
      </c>
      <c r="D21" s="10" t="s">
        <v>163</v>
      </c>
      <c r="E21" s="3" t="s">
        <v>17</v>
      </c>
      <c r="F21" s="5">
        <v>1184.0</v>
      </c>
      <c r="G21" s="6">
        <v>3.0</v>
      </c>
      <c r="H21" s="7">
        <v>0.06</v>
      </c>
      <c r="I21" s="3" t="s">
        <v>34</v>
      </c>
      <c r="J21" s="3" t="s">
        <v>45</v>
      </c>
      <c r="K21" s="3" t="s">
        <v>35</v>
      </c>
      <c r="L21" s="3" t="s">
        <v>24</v>
      </c>
      <c r="M21" s="5">
        <v>3338.88</v>
      </c>
      <c r="N21" s="11">
        <f t="shared" si="1"/>
        <v>3552</v>
      </c>
    </row>
    <row r="22">
      <c r="A22" s="3" t="s">
        <v>166</v>
      </c>
      <c r="B22" s="3" t="s">
        <v>167</v>
      </c>
      <c r="C22" s="4">
        <v>45101.0</v>
      </c>
      <c r="D22" s="10" t="s">
        <v>169</v>
      </c>
      <c r="E22" s="3" t="s">
        <v>52</v>
      </c>
      <c r="F22" s="5">
        <v>3818.0</v>
      </c>
      <c r="G22" s="6">
        <v>3.0</v>
      </c>
      <c r="H22" s="7">
        <v>0.07</v>
      </c>
      <c r="I22" s="3" t="s">
        <v>21</v>
      </c>
      <c r="J22" s="3" t="s">
        <v>73</v>
      </c>
      <c r="K22" s="3" t="s">
        <v>23</v>
      </c>
      <c r="L22" s="3" t="s">
        <v>36</v>
      </c>
      <c r="M22" s="5">
        <v>10652.22</v>
      </c>
      <c r="N22" s="11">
        <f t="shared" si="1"/>
        <v>11454</v>
      </c>
    </row>
    <row r="23">
      <c r="A23" s="3" t="s">
        <v>172</v>
      </c>
      <c r="B23" s="3" t="s">
        <v>173</v>
      </c>
      <c r="C23" s="4">
        <v>45015.0</v>
      </c>
      <c r="D23" s="10" t="s">
        <v>174</v>
      </c>
      <c r="E23" s="3" t="s">
        <v>30</v>
      </c>
      <c r="F23" s="5">
        <v>3287.0</v>
      </c>
      <c r="G23" s="6">
        <v>4.0</v>
      </c>
      <c r="H23" s="7">
        <v>0.08</v>
      </c>
      <c r="I23" s="3" t="s">
        <v>55</v>
      </c>
      <c r="J23" s="3" t="s">
        <v>22</v>
      </c>
      <c r="K23" s="3" t="s">
        <v>88</v>
      </c>
      <c r="L23" s="3" t="s">
        <v>46</v>
      </c>
      <c r="M23" s="5">
        <v>12096.16</v>
      </c>
      <c r="N23" s="11">
        <f t="shared" si="1"/>
        <v>13148</v>
      </c>
    </row>
    <row r="24">
      <c r="A24" s="3" t="s">
        <v>177</v>
      </c>
      <c r="B24" s="3" t="s">
        <v>178</v>
      </c>
      <c r="C24" s="4">
        <v>45264.0</v>
      </c>
      <c r="D24" s="10" t="s">
        <v>180</v>
      </c>
      <c r="E24" s="3" t="s">
        <v>17</v>
      </c>
      <c r="F24" s="5">
        <v>7639.0</v>
      </c>
      <c r="G24" s="6">
        <v>3.0</v>
      </c>
      <c r="H24" s="7">
        <v>0.1</v>
      </c>
      <c r="I24" s="3" t="s">
        <v>55</v>
      </c>
      <c r="J24" s="3" t="s">
        <v>56</v>
      </c>
      <c r="K24" s="3" t="s">
        <v>81</v>
      </c>
      <c r="L24" s="3" t="s">
        <v>36</v>
      </c>
      <c r="M24" s="5">
        <v>20625.3</v>
      </c>
      <c r="N24" s="11">
        <f t="shared" si="1"/>
        <v>22917</v>
      </c>
    </row>
    <row r="25">
      <c r="A25" s="3" t="s">
        <v>183</v>
      </c>
      <c r="B25" s="3" t="s">
        <v>184</v>
      </c>
      <c r="C25" s="4">
        <v>45092.0</v>
      </c>
      <c r="D25" s="10" t="s">
        <v>186</v>
      </c>
      <c r="E25" s="3" t="s">
        <v>30</v>
      </c>
      <c r="F25" s="5">
        <v>6848.0</v>
      </c>
      <c r="G25" s="6">
        <v>3.0</v>
      </c>
      <c r="H25" s="7">
        <v>0.07</v>
      </c>
      <c r="I25" s="3" t="s">
        <v>65</v>
      </c>
      <c r="J25" s="3" t="s">
        <v>45</v>
      </c>
      <c r="K25" s="3" t="s">
        <v>121</v>
      </c>
      <c r="L25" s="3" t="s">
        <v>36</v>
      </c>
      <c r="M25" s="5">
        <v>19105.92</v>
      </c>
      <c r="N25" s="11">
        <f t="shared" si="1"/>
        <v>20544</v>
      </c>
    </row>
    <row r="26">
      <c r="A26" s="3" t="s">
        <v>189</v>
      </c>
      <c r="B26" s="3" t="s">
        <v>190</v>
      </c>
      <c r="C26" s="4">
        <v>44952.0</v>
      </c>
      <c r="D26" s="10" t="s">
        <v>192</v>
      </c>
      <c r="E26" s="3" t="s">
        <v>42</v>
      </c>
      <c r="F26" s="5">
        <v>3445.0</v>
      </c>
      <c r="G26" s="6">
        <v>3.0</v>
      </c>
      <c r="H26" s="7">
        <v>0.05</v>
      </c>
      <c r="I26" s="3" t="s">
        <v>65</v>
      </c>
      <c r="J26" s="3" t="s">
        <v>56</v>
      </c>
      <c r="K26" s="3" t="s">
        <v>88</v>
      </c>
      <c r="L26" s="3" t="s">
        <v>24</v>
      </c>
      <c r="M26" s="5">
        <v>9818.25</v>
      </c>
      <c r="N26" s="11">
        <f t="shared" si="1"/>
        <v>10335</v>
      </c>
    </row>
    <row r="27">
      <c r="A27" s="3" t="s">
        <v>196</v>
      </c>
      <c r="B27" s="3" t="s">
        <v>197</v>
      </c>
      <c r="C27" s="4">
        <v>45260.0</v>
      </c>
      <c r="D27" s="10" t="s">
        <v>199</v>
      </c>
      <c r="E27" s="3" t="s">
        <v>200</v>
      </c>
      <c r="F27" s="5">
        <v>8324.0</v>
      </c>
      <c r="G27" s="6">
        <v>1.0</v>
      </c>
      <c r="H27" s="7">
        <v>0.11</v>
      </c>
      <c r="I27" s="3" t="s">
        <v>65</v>
      </c>
      <c r="J27" s="3" t="s">
        <v>45</v>
      </c>
      <c r="K27" s="3" t="s">
        <v>121</v>
      </c>
      <c r="L27" s="3" t="s">
        <v>24</v>
      </c>
      <c r="M27" s="5">
        <v>7408.36</v>
      </c>
      <c r="N27" s="11">
        <f t="shared" si="1"/>
        <v>8324</v>
      </c>
    </row>
    <row r="28">
      <c r="A28" s="3" t="s">
        <v>203</v>
      </c>
      <c r="B28" s="3" t="s">
        <v>204</v>
      </c>
      <c r="C28" s="4">
        <v>44999.0</v>
      </c>
      <c r="D28" s="10" t="s">
        <v>206</v>
      </c>
      <c r="E28" s="3" t="s">
        <v>42</v>
      </c>
      <c r="F28" s="5">
        <v>9467.0</v>
      </c>
      <c r="G28" s="6">
        <v>4.0</v>
      </c>
      <c r="H28" s="7">
        <v>0.06</v>
      </c>
      <c r="I28" s="3" t="s">
        <v>65</v>
      </c>
      <c r="J28" s="3" t="s">
        <v>22</v>
      </c>
      <c r="K28" s="3" t="s">
        <v>81</v>
      </c>
      <c r="L28" s="3" t="s">
        <v>46</v>
      </c>
      <c r="M28" s="5">
        <v>35595.92</v>
      </c>
      <c r="N28" s="11">
        <f t="shared" si="1"/>
        <v>37868</v>
      </c>
    </row>
    <row r="29">
      <c r="A29" s="3" t="s">
        <v>209</v>
      </c>
      <c r="B29" s="3" t="s">
        <v>210</v>
      </c>
      <c r="C29" s="4">
        <v>45192.0</v>
      </c>
      <c r="D29" s="10" t="s">
        <v>212</v>
      </c>
      <c r="E29" s="3" t="s">
        <v>30</v>
      </c>
      <c r="F29" s="5">
        <v>4105.0</v>
      </c>
      <c r="G29" s="6">
        <v>2.0</v>
      </c>
      <c r="H29" s="7">
        <v>0.15</v>
      </c>
      <c r="I29" s="3" t="s">
        <v>55</v>
      </c>
      <c r="J29" s="3" t="s">
        <v>45</v>
      </c>
      <c r="K29" s="3" t="s">
        <v>23</v>
      </c>
      <c r="L29" s="3" t="s">
        <v>46</v>
      </c>
      <c r="M29" s="5">
        <v>6978.5</v>
      </c>
      <c r="N29" s="11">
        <f t="shared" si="1"/>
        <v>8210</v>
      </c>
    </row>
    <row r="30">
      <c r="A30" s="3" t="s">
        <v>216</v>
      </c>
      <c r="B30" s="3" t="s">
        <v>217</v>
      </c>
      <c r="C30" s="4">
        <v>45042.0</v>
      </c>
      <c r="D30" s="10" t="s">
        <v>219</v>
      </c>
      <c r="E30" s="3" t="s">
        <v>17</v>
      </c>
      <c r="F30" s="5">
        <v>9439.0</v>
      </c>
      <c r="G30" s="6">
        <v>2.0</v>
      </c>
      <c r="H30" s="7">
        <v>0.12</v>
      </c>
      <c r="I30" s="3" t="s">
        <v>65</v>
      </c>
      <c r="J30" s="3" t="s">
        <v>45</v>
      </c>
      <c r="K30" s="3" t="s">
        <v>121</v>
      </c>
      <c r="L30" s="3" t="s">
        <v>46</v>
      </c>
      <c r="M30" s="5">
        <v>16612.64</v>
      </c>
      <c r="N30" s="11">
        <f t="shared" si="1"/>
        <v>18878</v>
      </c>
    </row>
    <row r="31">
      <c r="A31" s="3" t="s">
        <v>222</v>
      </c>
      <c r="B31" s="3" t="s">
        <v>223</v>
      </c>
      <c r="C31" s="4">
        <v>45170.0</v>
      </c>
      <c r="D31" s="10" t="s">
        <v>225</v>
      </c>
      <c r="E31" s="3" t="s">
        <v>17</v>
      </c>
      <c r="F31" s="5">
        <v>6686.0</v>
      </c>
      <c r="G31" s="6">
        <v>4.0</v>
      </c>
      <c r="H31" s="7">
        <v>0.12</v>
      </c>
      <c r="I31" s="3" t="s">
        <v>55</v>
      </c>
      <c r="J31" s="3" t="s">
        <v>73</v>
      </c>
      <c r="K31" s="3" t="s">
        <v>23</v>
      </c>
      <c r="L31" s="3" t="s">
        <v>24</v>
      </c>
      <c r="M31" s="5">
        <v>23534.72</v>
      </c>
      <c r="N31" s="11">
        <f t="shared" si="1"/>
        <v>26744</v>
      </c>
    </row>
    <row r="32">
      <c r="A32" s="3" t="s">
        <v>228</v>
      </c>
      <c r="B32" s="3" t="s">
        <v>229</v>
      </c>
      <c r="C32" s="4">
        <v>45124.0</v>
      </c>
      <c r="D32" s="10" t="s">
        <v>231</v>
      </c>
      <c r="E32" s="3" t="s">
        <v>42</v>
      </c>
      <c r="F32" s="5">
        <v>9042.0</v>
      </c>
      <c r="G32" s="6">
        <v>4.0</v>
      </c>
      <c r="H32" s="7">
        <v>0.08</v>
      </c>
      <c r="I32" s="3" t="s">
        <v>34</v>
      </c>
      <c r="J32" s="3" t="s">
        <v>22</v>
      </c>
      <c r="K32" s="3" t="s">
        <v>23</v>
      </c>
      <c r="L32" s="3" t="s">
        <v>24</v>
      </c>
      <c r="M32" s="5">
        <v>33274.56</v>
      </c>
      <c r="N32" s="11">
        <f t="shared" si="1"/>
        <v>36168</v>
      </c>
    </row>
    <row r="33">
      <c r="A33" s="3" t="s">
        <v>234</v>
      </c>
      <c r="B33" s="3" t="s">
        <v>235</v>
      </c>
      <c r="C33" s="4">
        <v>45262.0</v>
      </c>
      <c r="D33" s="10" t="s">
        <v>237</v>
      </c>
      <c r="E33" s="3" t="s">
        <v>17</v>
      </c>
      <c r="F33" s="5">
        <v>6309.0</v>
      </c>
      <c r="G33" s="6">
        <v>3.0</v>
      </c>
      <c r="H33" s="7">
        <v>0.06</v>
      </c>
      <c r="I33" s="3" t="s">
        <v>34</v>
      </c>
      <c r="J33" s="3" t="s">
        <v>45</v>
      </c>
      <c r="K33" s="3" t="s">
        <v>35</v>
      </c>
      <c r="L33" s="3" t="s">
        <v>36</v>
      </c>
      <c r="M33" s="5">
        <v>17791.38</v>
      </c>
      <c r="N33" s="11">
        <f t="shared" si="1"/>
        <v>18927</v>
      </c>
    </row>
    <row r="34">
      <c r="A34" s="3" t="s">
        <v>240</v>
      </c>
      <c r="B34" s="3" t="s">
        <v>241</v>
      </c>
      <c r="C34" s="4">
        <v>45265.0</v>
      </c>
      <c r="D34" s="10" t="s">
        <v>243</v>
      </c>
      <c r="E34" s="3" t="s">
        <v>52</v>
      </c>
      <c r="F34" s="5">
        <v>423.0</v>
      </c>
      <c r="G34" s="6">
        <v>4.0</v>
      </c>
      <c r="H34" s="7">
        <v>0.11</v>
      </c>
      <c r="I34" s="3" t="s">
        <v>55</v>
      </c>
      <c r="J34" s="3" t="s">
        <v>73</v>
      </c>
      <c r="K34" s="3" t="s">
        <v>35</v>
      </c>
      <c r="L34" s="3" t="s">
        <v>24</v>
      </c>
      <c r="M34" s="5">
        <v>1505.88</v>
      </c>
      <c r="N34" s="11">
        <f t="shared" si="1"/>
        <v>1692</v>
      </c>
    </row>
    <row r="35">
      <c r="A35" s="3" t="s">
        <v>246</v>
      </c>
      <c r="B35" s="3" t="s">
        <v>247</v>
      </c>
      <c r="C35" s="4">
        <v>45026.0</v>
      </c>
      <c r="D35" s="10" t="s">
        <v>249</v>
      </c>
      <c r="E35" s="3" t="s">
        <v>17</v>
      </c>
      <c r="F35" s="5">
        <v>9856.0</v>
      </c>
      <c r="G35" s="6">
        <v>3.0</v>
      </c>
      <c r="H35" s="7">
        <v>0.11</v>
      </c>
      <c r="I35" s="3" t="s">
        <v>55</v>
      </c>
      <c r="J35" s="3" t="s">
        <v>22</v>
      </c>
      <c r="K35" s="3" t="s">
        <v>88</v>
      </c>
      <c r="L35" s="3" t="s">
        <v>24</v>
      </c>
      <c r="M35" s="5">
        <v>26315.52</v>
      </c>
      <c r="N35" s="11">
        <f t="shared" si="1"/>
        <v>29568</v>
      </c>
    </row>
    <row r="36">
      <c r="A36" s="3" t="s">
        <v>252</v>
      </c>
      <c r="B36" s="3" t="s">
        <v>253</v>
      </c>
      <c r="C36" s="4">
        <v>45104.0</v>
      </c>
      <c r="D36" s="10" t="s">
        <v>255</v>
      </c>
      <c r="E36" s="3" t="s">
        <v>42</v>
      </c>
      <c r="F36" s="5">
        <v>8745.0</v>
      </c>
      <c r="G36" s="6">
        <v>3.0</v>
      </c>
      <c r="H36" s="7">
        <v>0.08</v>
      </c>
      <c r="I36" s="3" t="s">
        <v>65</v>
      </c>
      <c r="J36" s="3" t="s">
        <v>73</v>
      </c>
      <c r="K36" s="3" t="s">
        <v>23</v>
      </c>
      <c r="L36" s="3" t="s">
        <v>24</v>
      </c>
      <c r="M36" s="5">
        <v>24136.2</v>
      </c>
      <c r="N36" s="11">
        <f t="shared" si="1"/>
        <v>26235</v>
      </c>
    </row>
    <row r="37">
      <c r="A37" s="3" t="s">
        <v>258</v>
      </c>
      <c r="B37" s="3" t="s">
        <v>259</v>
      </c>
      <c r="C37" s="4">
        <v>45170.0</v>
      </c>
      <c r="D37" s="10" t="s">
        <v>260</v>
      </c>
      <c r="E37" s="3" t="s">
        <v>200</v>
      </c>
      <c r="F37" s="5">
        <v>5504.0</v>
      </c>
      <c r="G37" s="6">
        <v>2.0</v>
      </c>
      <c r="H37" s="7">
        <v>0.07</v>
      </c>
      <c r="I37" s="3" t="s">
        <v>21</v>
      </c>
      <c r="J37" s="3" t="s">
        <v>56</v>
      </c>
      <c r="K37" s="3" t="s">
        <v>23</v>
      </c>
      <c r="L37" s="3" t="s">
        <v>46</v>
      </c>
      <c r="M37" s="5">
        <v>10237.44</v>
      </c>
      <c r="N37" s="11">
        <f t="shared" si="1"/>
        <v>11008</v>
      </c>
    </row>
    <row r="38">
      <c r="A38" s="3" t="s">
        <v>263</v>
      </c>
      <c r="B38" s="3" t="s">
        <v>264</v>
      </c>
      <c r="C38" s="4">
        <v>45212.0</v>
      </c>
      <c r="D38" s="10" t="s">
        <v>266</v>
      </c>
      <c r="E38" s="3" t="s">
        <v>30</v>
      </c>
      <c r="F38" s="5">
        <v>4734.0</v>
      </c>
      <c r="G38" s="6">
        <v>4.0</v>
      </c>
      <c r="H38" s="7">
        <v>0.07</v>
      </c>
      <c r="I38" s="3" t="s">
        <v>65</v>
      </c>
      <c r="J38" s="3" t="s">
        <v>73</v>
      </c>
      <c r="K38" s="3" t="s">
        <v>81</v>
      </c>
      <c r="L38" s="3" t="s">
        <v>46</v>
      </c>
      <c r="M38" s="5">
        <v>17610.48</v>
      </c>
      <c r="N38" s="11">
        <f t="shared" si="1"/>
        <v>18936</v>
      </c>
    </row>
    <row r="39">
      <c r="A39" s="3" t="s">
        <v>269</v>
      </c>
      <c r="B39" s="3" t="s">
        <v>270</v>
      </c>
      <c r="C39" s="4">
        <v>45074.0</v>
      </c>
      <c r="D39" s="10" t="s">
        <v>272</v>
      </c>
      <c r="E39" s="3" t="s">
        <v>52</v>
      </c>
      <c r="F39" s="5">
        <v>4995.0</v>
      </c>
      <c r="G39" s="6">
        <v>2.0</v>
      </c>
      <c r="H39" s="7">
        <v>0.18</v>
      </c>
      <c r="I39" s="3" t="s">
        <v>55</v>
      </c>
      <c r="J39" s="3" t="s">
        <v>22</v>
      </c>
      <c r="K39" s="3" t="s">
        <v>35</v>
      </c>
      <c r="L39" s="3" t="s">
        <v>36</v>
      </c>
      <c r="M39" s="5">
        <v>8191.8</v>
      </c>
      <c r="N39" s="11">
        <f t="shared" si="1"/>
        <v>9990</v>
      </c>
    </row>
    <row r="40">
      <c r="A40" s="3" t="s">
        <v>275</v>
      </c>
      <c r="B40" s="3" t="s">
        <v>276</v>
      </c>
      <c r="C40" s="4">
        <v>45074.0</v>
      </c>
      <c r="D40" s="10" t="s">
        <v>277</v>
      </c>
      <c r="E40" s="3" t="s">
        <v>17</v>
      </c>
      <c r="F40" s="5">
        <v>1748.0</v>
      </c>
      <c r="G40" s="6">
        <v>4.0</v>
      </c>
      <c r="H40" s="7">
        <v>0.11</v>
      </c>
      <c r="I40" s="3" t="s">
        <v>65</v>
      </c>
      <c r="J40" s="3" t="s">
        <v>45</v>
      </c>
      <c r="K40" s="3" t="s">
        <v>23</v>
      </c>
      <c r="L40" s="3" t="s">
        <v>24</v>
      </c>
      <c r="M40" s="5">
        <v>6222.88</v>
      </c>
      <c r="N40" s="11">
        <f t="shared" si="1"/>
        <v>6992</v>
      </c>
    </row>
    <row r="41">
      <c r="A41" s="3" t="s">
        <v>280</v>
      </c>
      <c r="B41" s="3" t="s">
        <v>281</v>
      </c>
      <c r="C41" s="4">
        <v>45215.0</v>
      </c>
      <c r="D41" s="10" t="s">
        <v>283</v>
      </c>
      <c r="E41" s="3" t="s">
        <v>30</v>
      </c>
      <c r="F41" s="5">
        <v>8542.0</v>
      </c>
      <c r="G41" s="6">
        <v>2.0</v>
      </c>
      <c r="H41" s="7">
        <v>0.07</v>
      </c>
      <c r="I41" s="3" t="s">
        <v>21</v>
      </c>
      <c r="J41" s="3" t="s">
        <v>45</v>
      </c>
      <c r="K41" s="3" t="s">
        <v>35</v>
      </c>
      <c r="L41" s="3" t="s">
        <v>46</v>
      </c>
      <c r="M41" s="5">
        <v>15888.12</v>
      </c>
      <c r="N41" s="11">
        <f t="shared" si="1"/>
        <v>17084</v>
      </c>
    </row>
    <row r="42">
      <c r="A42" s="3" t="s">
        <v>286</v>
      </c>
      <c r="B42" s="3" t="s">
        <v>287</v>
      </c>
      <c r="C42" s="4">
        <v>45192.0</v>
      </c>
      <c r="D42" s="10" t="s">
        <v>288</v>
      </c>
      <c r="E42" s="3" t="s">
        <v>200</v>
      </c>
      <c r="F42" s="5">
        <v>2568.0</v>
      </c>
      <c r="G42" s="6">
        <v>3.0</v>
      </c>
      <c r="H42" s="7">
        <v>0.09</v>
      </c>
      <c r="I42" s="3" t="s">
        <v>65</v>
      </c>
      <c r="J42" s="3" t="s">
        <v>56</v>
      </c>
      <c r="K42" s="3" t="s">
        <v>88</v>
      </c>
      <c r="L42" s="3" t="s">
        <v>24</v>
      </c>
      <c r="M42" s="5">
        <v>7010.64</v>
      </c>
      <c r="N42" s="11">
        <f t="shared" si="1"/>
        <v>7704</v>
      </c>
    </row>
    <row r="43">
      <c r="A43" s="3" t="s">
        <v>291</v>
      </c>
      <c r="B43" s="3" t="s">
        <v>292</v>
      </c>
      <c r="C43" s="4">
        <v>45112.0</v>
      </c>
      <c r="D43" s="10" t="s">
        <v>294</v>
      </c>
      <c r="E43" s="3" t="s">
        <v>42</v>
      </c>
      <c r="F43" s="5">
        <v>2899.0</v>
      </c>
      <c r="G43" s="6">
        <v>3.0</v>
      </c>
      <c r="H43" s="7">
        <v>0.14</v>
      </c>
      <c r="I43" s="3" t="s">
        <v>55</v>
      </c>
      <c r="J43" s="3" t="s">
        <v>45</v>
      </c>
      <c r="K43" s="3" t="s">
        <v>35</v>
      </c>
      <c r="L43" s="3" t="s">
        <v>36</v>
      </c>
      <c r="M43" s="5">
        <v>7479.42</v>
      </c>
      <c r="N43" s="11">
        <f t="shared" si="1"/>
        <v>8697</v>
      </c>
    </row>
    <row r="44">
      <c r="A44" s="3" t="s">
        <v>297</v>
      </c>
      <c r="B44" s="3" t="s">
        <v>298</v>
      </c>
      <c r="C44" s="4">
        <v>45054.0</v>
      </c>
      <c r="D44" s="10" t="s">
        <v>300</v>
      </c>
      <c r="E44" s="3" t="s">
        <v>17</v>
      </c>
      <c r="F44" s="5">
        <v>5029.0</v>
      </c>
      <c r="G44" s="6">
        <v>2.0</v>
      </c>
      <c r="H44" s="7">
        <v>0.1</v>
      </c>
      <c r="I44" s="3" t="s">
        <v>55</v>
      </c>
      <c r="J44" s="3" t="s">
        <v>45</v>
      </c>
      <c r="K44" s="3" t="s">
        <v>35</v>
      </c>
      <c r="L44" s="3" t="s">
        <v>46</v>
      </c>
      <c r="M44" s="5">
        <v>9052.2</v>
      </c>
      <c r="N44" s="11">
        <f t="shared" si="1"/>
        <v>10058</v>
      </c>
    </row>
    <row r="45">
      <c r="A45" s="3" t="s">
        <v>303</v>
      </c>
      <c r="B45" s="3" t="s">
        <v>304</v>
      </c>
      <c r="C45" s="4">
        <v>44959.0</v>
      </c>
      <c r="D45" s="10" t="s">
        <v>306</v>
      </c>
      <c r="E45" s="3" t="s">
        <v>52</v>
      </c>
      <c r="F45" s="5">
        <v>3487.0</v>
      </c>
      <c r="G45" s="6">
        <v>3.0</v>
      </c>
      <c r="H45" s="7">
        <v>0.05</v>
      </c>
      <c r="I45" s="3" t="s">
        <v>55</v>
      </c>
      <c r="J45" s="3" t="s">
        <v>45</v>
      </c>
      <c r="K45" s="3" t="s">
        <v>35</v>
      </c>
      <c r="L45" s="3" t="s">
        <v>36</v>
      </c>
      <c r="M45" s="5">
        <v>9937.95</v>
      </c>
      <c r="N45" s="11">
        <f t="shared" si="1"/>
        <v>10461</v>
      </c>
    </row>
    <row r="46">
      <c r="A46" s="3" t="s">
        <v>309</v>
      </c>
      <c r="B46" s="3" t="s">
        <v>310</v>
      </c>
      <c r="C46" s="4">
        <v>44958.0</v>
      </c>
      <c r="D46" s="10" t="s">
        <v>312</v>
      </c>
      <c r="E46" s="3" t="s">
        <v>52</v>
      </c>
      <c r="F46" s="5">
        <v>8312.0</v>
      </c>
      <c r="G46" s="6">
        <v>1.0</v>
      </c>
      <c r="H46" s="7">
        <v>0.05</v>
      </c>
      <c r="I46" s="3" t="s">
        <v>55</v>
      </c>
      <c r="J46" s="3" t="s">
        <v>73</v>
      </c>
      <c r="K46" s="3" t="s">
        <v>88</v>
      </c>
      <c r="L46" s="3" t="s">
        <v>24</v>
      </c>
      <c r="M46" s="5">
        <v>7896.4</v>
      </c>
      <c r="N46" s="11">
        <f t="shared" si="1"/>
        <v>8312</v>
      </c>
    </row>
    <row r="47">
      <c r="A47" s="3" t="s">
        <v>315</v>
      </c>
      <c r="B47" s="3" t="s">
        <v>316</v>
      </c>
      <c r="C47" s="4">
        <v>45129.0</v>
      </c>
      <c r="D47" s="10" t="s">
        <v>318</v>
      </c>
      <c r="E47" s="3" t="s">
        <v>17</v>
      </c>
      <c r="F47" s="5">
        <v>8345.0</v>
      </c>
      <c r="G47" s="6">
        <v>2.0</v>
      </c>
      <c r="H47" s="7">
        <v>0.18</v>
      </c>
      <c r="I47" s="3" t="s">
        <v>65</v>
      </c>
      <c r="J47" s="3" t="s">
        <v>56</v>
      </c>
      <c r="K47" s="3" t="s">
        <v>88</v>
      </c>
      <c r="L47" s="3" t="s">
        <v>36</v>
      </c>
      <c r="M47" s="5">
        <v>13685.8</v>
      </c>
      <c r="N47" s="11">
        <f t="shared" si="1"/>
        <v>16690</v>
      </c>
    </row>
    <row r="48">
      <c r="A48" s="3" t="s">
        <v>321</v>
      </c>
      <c r="B48" s="3" t="s">
        <v>322</v>
      </c>
      <c r="C48" s="4">
        <v>45171.0</v>
      </c>
      <c r="D48" s="10" t="s">
        <v>324</v>
      </c>
      <c r="E48" s="3" t="s">
        <v>200</v>
      </c>
      <c r="F48" s="5">
        <v>5180.0</v>
      </c>
      <c r="G48" s="6">
        <v>2.0</v>
      </c>
      <c r="H48" s="7">
        <v>0.17</v>
      </c>
      <c r="I48" s="3" t="s">
        <v>55</v>
      </c>
      <c r="J48" s="3" t="s">
        <v>73</v>
      </c>
      <c r="K48" s="3" t="s">
        <v>88</v>
      </c>
      <c r="L48" s="3" t="s">
        <v>46</v>
      </c>
      <c r="M48" s="5">
        <v>8598.8</v>
      </c>
      <c r="N48" s="11">
        <f t="shared" si="1"/>
        <v>10360</v>
      </c>
    </row>
    <row r="49">
      <c r="A49" s="3" t="s">
        <v>328</v>
      </c>
      <c r="B49" s="3" t="s">
        <v>329</v>
      </c>
      <c r="C49" s="4">
        <v>45078.0</v>
      </c>
      <c r="D49" s="10" t="s">
        <v>331</v>
      </c>
      <c r="E49" s="3" t="s">
        <v>42</v>
      </c>
      <c r="F49" s="5">
        <v>2237.0</v>
      </c>
      <c r="G49" s="6">
        <v>4.0</v>
      </c>
      <c r="H49" s="7">
        <v>0.1</v>
      </c>
      <c r="I49" s="3" t="s">
        <v>65</v>
      </c>
      <c r="J49" s="3" t="s">
        <v>45</v>
      </c>
      <c r="K49" s="3" t="s">
        <v>81</v>
      </c>
      <c r="L49" s="3" t="s">
        <v>46</v>
      </c>
      <c r="M49" s="5">
        <v>8053.2</v>
      </c>
      <c r="N49" s="11">
        <f t="shared" si="1"/>
        <v>8948</v>
      </c>
    </row>
    <row r="50">
      <c r="A50" s="3" t="s">
        <v>334</v>
      </c>
      <c r="B50" s="3" t="s">
        <v>335</v>
      </c>
      <c r="C50" s="4">
        <v>45090.0</v>
      </c>
      <c r="D50" s="10" t="s">
        <v>337</v>
      </c>
      <c r="E50" s="3" t="s">
        <v>52</v>
      </c>
      <c r="F50" s="5">
        <v>4016.0</v>
      </c>
      <c r="G50" s="6">
        <v>3.0</v>
      </c>
      <c r="H50" s="7">
        <v>0.15</v>
      </c>
      <c r="I50" s="3" t="s">
        <v>21</v>
      </c>
      <c r="J50" s="3" t="s">
        <v>22</v>
      </c>
      <c r="K50" s="3" t="s">
        <v>121</v>
      </c>
      <c r="L50" s="3" t="s">
        <v>36</v>
      </c>
      <c r="M50" s="5">
        <v>10240.8</v>
      </c>
      <c r="N50" s="11">
        <f t="shared" si="1"/>
        <v>12048</v>
      </c>
    </row>
    <row r="51">
      <c r="A51" s="3" t="s">
        <v>340</v>
      </c>
      <c r="B51" s="3" t="s">
        <v>341</v>
      </c>
      <c r="C51" s="4">
        <v>45110.0</v>
      </c>
      <c r="D51" s="10" t="s">
        <v>343</v>
      </c>
      <c r="E51" s="3" t="s">
        <v>17</v>
      </c>
      <c r="F51" s="5">
        <v>7737.0</v>
      </c>
      <c r="G51" s="6">
        <v>1.0</v>
      </c>
      <c r="H51" s="7">
        <v>0.13</v>
      </c>
      <c r="I51" s="3" t="s">
        <v>55</v>
      </c>
      <c r="J51" s="3" t="s">
        <v>45</v>
      </c>
      <c r="K51" s="3" t="s">
        <v>23</v>
      </c>
      <c r="L51" s="3" t="s">
        <v>46</v>
      </c>
      <c r="M51" s="5">
        <v>6731.19</v>
      </c>
      <c r="N51" s="11">
        <f t="shared" si="1"/>
        <v>7737</v>
      </c>
    </row>
    <row r="52">
      <c r="A52" s="3" t="s">
        <v>347</v>
      </c>
      <c r="B52" s="3" t="s">
        <v>348</v>
      </c>
      <c r="C52" s="4">
        <v>44955.0</v>
      </c>
      <c r="D52" s="10" t="s">
        <v>350</v>
      </c>
      <c r="E52" s="3" t="s">
        <v>17</v>
      </c>
      <c r="F52" s="5">
        <v>7803.0</v>
      </c>
      <c r="G52" s="6">
        <v>4.0</v>
      </c>
      <c r="H52" s="7">
        <v>0.12</v>
      </c>
      <c r="I52" s="3" t="s">
        <v>65</v>
      </c>
      <c r="J52" s="3" t="s">
        <v>73</v>
      </c>
      <c r="K52" s="3" t="s">
        <v>81</v>
      </c>
      <c r="L52" s="3" t="s">
        <v>24</v>
      </c>
      <c r="M52" s="5">
        <v>27466.56</v>
      </c>
      <c r="N52" s="11">
        <f t="shared" si="1"/>
        <v>31212</v>
      </c>
    </row>
    <row r="53">
      <c r="A53" s="3" t="s">
        <v>353</v>
      </c>
      <c r="B53" s="3" t="s">
        <v>354</v>
      </c>
      <c r="C53" s="4">
        <v>45217.0</v>
      </c>
      <c r="D53" s="10" t="s">
        <v>356</v>
      </c>
      <c r="E53" s="3" t="s">
        <v>42</v>
      </c>
      <c r="F53" s="5">
        <v>7771.0</v>
      </c>
      <c r="G53" s="6">
        <v>2.0</v>
      </c>
      <c r="H53" s="7">
        <v>0.1</v>
      </c>
      <c r="I53" s="3" t="s">
        <v>21</v>
      </c>
      <c r="J53" s="3" t="s">
        <v>45</v>
      </c>
      <c r="K53" s="3" t="s">
        <v>35</v>
      </c>
      <c r="L53" s="3" t="s">
        <v>46</v>
      </c>
      <c r="M53" s="5">
        <v>13987.8</v>
      </c>
      <c r="N53" s="11">
        <f t="shared" si="1"/>
        <v>15542</v>
      </c>
    </row>
    <row r="54">
      <c r="A54" s="3" t="s">
        <v>359</v>
      </c>
      <c r="B54" s="3" t="s">
        <v>360</v>
      </c>
      <c r="C54" s="4">
        <v>45055.0</v>
      </c>
      <c r="D54" s="10" t="s">
        <v>362</v>
      </c>
      <c r="E54" s="3" t="s">
        <v>200</v>
      </c>
      <c r="F54" s="5">
        <v>5378.0</v>
      </c>
      <c r="G54" s="6">
        <v>1.0</v>
      </c>
      <c r="H54" s="7">
        <v>0.08</v>
      </c>
      <c r="I54" s="3" t="s">
        <v>65</v>
      </c>
      <c r="J54" s="3" t="s">
        <v>56</v>
      </c>
      <c r="K54" s="3" t="s">
        <v>35</v>
      </c>
      <c r="L54" s="3" t="s">
        <v>24</v>
      </c>
      <c r="M54" s="5">
        <v>4947.76</v>
      </c>
      <c r="N54" s="11">
        <f t="shared" si="1"/>
        <v>5378</v>
      </c>
    </row>
    <row r="55">
      <c r="A55" s="3" t="s">
        <v>365</v>
      </c>
      <c r="B55" s="3" t="s">
        <v>366</v>
      </c>
      <c r="C55" s="4">
        <v>45055.0</v>
      </c>
      <c r="D55" s="10" t="s">
        <v>367</v>
      </c>
      <c r="E55" s="3" t="s">
        <v>52</v>
      </c>
      <c r="F55" s="5">
        <v>3604.0</v>
      </c>
      <c r="G55" s="6">
        <v>1.0</v>
      </c>
      <c r="H55" s="7">
        <v>0.14</v>
      </c>
      <c r="I55" s="3" t="s">
        <v>21</v>
      </c>
      <c r="J55" s="3" t="s">
        <v>73</v>
      </c>
      <c r="K55" s="3" t="s">
        <v>23</v>
      </c>
      <c r="L55" s="3" t="s">
        <v>46</v>
      </c>
      <c r="M55" s="5">
        <v>3099.44</v>
      </c>
      <c r="N55" s="11">
        <f t="shared" si="1"/>
        <v>3604</v>
      </c>
    </row>
    <row r="56">
      <c r="A56" s="3" t="s">
        <v>370</v>
      </c>
      <c r="B56" s="3" t="s">
        <v>371</v>
      </c>
      <c r="C56" s="4">
        <v>44980.0</v>
      </c>
      <c r="D56" s="10" t="s">
        <v>373</v>
      </c>
      <c r="E56" s="3" t="s">
        <v>42</v>
      </c>
      <c r="F56" s="5">
        <v>6017.0</v>
      </c>
      <c r="G56" s="6">
        <v>3.0</v>
      </c>
      <c r="H56" s="7">
        <v>0.09</v>
      </c>
      <c r="I56" s="3" t="s">
        <v>55</v>
      </c>
      <c r="J56" s="3" t="s">
        <v>73</v>
      </c>
      <c r="K56" s="3" t="s">
        <v>23</v>
      </c>
      <c r="L56" s="3" t="s">
        <v>46</v>
      </c>
      <c r="M56" s="5">
        <v>16426.41</v>
      </c>
      <c r="N56" s="11">
        <f t="shared" si="1"/>
        <v>18051</v>
      </c>
    </row>
    <row r="57">
      <c r="A57" s="3" t="s">
        <v>376</v>
      </c>
      <c r="B57" s="3" t="s">
        <v>377</v>
      </c>
      <c r="C57" s="4">
        <v>44965.0</v>
      </c>
      <c r="D57" s="10" t="s">
        <v>379</v>
      </c>
      <c r="E57" s="3" t="s">
        <v>17</v>
      </c>
      <c r="F57" s="5">
        <v>2607.0</v>
      </c>
      <c r="G57" s="6">
        <v>2.0</v>
      </c>
      <c r="H57" s="7">
        <v>0.17</v>
      </c>
      <c r="I57" s="3" t="s">
        <v>34</v>
      </c>
      <c r="J57" s="3" t="s">
        <v>45</v>
      </c>
      <c r="K57" s="3" t="s">
        <v>88</v>
      </c>
      <c r="L57" s="3" t="s">
        <v>36</v>
      </c>
      <c r="M57" s="5">
        <v>4327.62</v>
      </c>
      <c r="N57" s="11">
        <f t="shared" si="1"/>
        <v>5214</v>
      </c>
    </row>
    <row r="58">
      <c r="A58" s="3" t="s">
        <v>382</v>
      </c>
      <c r="B58" s="3" t="s">
        <v>383</v>
      </c>
      <c r="C58" s="4">
        <v>45171.0</v>
      </c>
      <c r="D58" s="10" t="s">
        <v>384</v>
      </c>
      <c r="E58" s="3" t="s">
        <v>200</v>
      </c>
      <c r="F58" s="5">
        <v>2340.0</v>
      </c>
      <c r="G58" s="6">
        <v>4.0</v>
      </c>
      <c r="H58" s="7">
        <v>0.09</v>
      </c>
      <c r="I58" s="3" t="s">
        <v>21</v>
      </c>
      <c r="J58" s="3" t="s">
        <v>73</v>
      </c>
      <c r="K58" s="3" t="s">
        <v>81</v>
      </c>
      <c r="L58" s="3" t="s">
        <v>46</v>
      </c>
      <c r="M58" s="5">
        <v>8517.6</v>
      </c>
      <c r="N58" s="11">
        <f t="shared" si="1"/>
        <v>9360</v>
      </c>
    </row>
    <row r="59">
      <c r="A59" s="3" t="s">
        <v>387</v>
      </c>
      <c r="B59" s="3" t="s">
        <v>388</v>
      </c>
      <c r="C59" s="4">
        <v>45200.0</v>
      </c>
      <c r="D59" s="10" t="s">
        <v>390</v>
      </c>
      <c r="E59" s="3" t="s">
        <v>42</v>
      </c>
      <c r="F59" s="5">
        <v>8542.0</v>
      </c>
      <c r="G59" s="6">
        <v>1.0</v>
      </c>
      <c r="H59" s="7">
        <v>0.1</v>
      </c>
      <c r="I59" s="3" t="s">
        <v>65</v>
      </c>
      <c r="J59" s="3" t="s">
        <v>22</v>
      </c>
      <c r="K59" s="3" t="s">
        <v>121</v>
      </c>
      <c r="L59" s="3" t="s">
        <v>24</v>
      </c>
      <c r="M59" s="5">
        <v>7687.8</v>
      </c>
      <c r="N59" s="11">
        <f t="shared" si="1"/>
        <v>8542</v>
      </c>
    </row>
    <row r="60">
      <c r="A60" s="3" t="s">
        <v>392</v>
      </c>
      <c r="B60" s="3" t="s">
        <v>393</v>
      </c>
      <c r="C60" s="4">
        <v>45262.0</v>
      </c>
      <c r="D60" s="10" t="s">
        <v>394</v>
      </c>
      <c r="E60" s="3" t="s">
        <v>30</v>
      </c>
      <c r="F60" s="5">
        <v>9395.0</v>
      </c>
      <c r="G60" s="6">
        <v>2.0</v>
      </c>
      <c r="H60" s="7">
        <v>0.15</v>
      </c>
      <c r="I60" s="3" t="s">
        <v>21</v>
      </c>
      <c r="J60" s="3" t="s">
        <v>45</v>
      </c>
      <c r="K60" s="3" t="s">
        <v>88</v>
      </c>
      <c r="L60" s="3" t="s">
        <v>24</v>
      </c>
      <c r="M60" s="5">
        <v>15971.5</v>
      </c>
      <c r="N60" s="11">
        <f t="shared" si="1"/>
        <v>18790</v>
      </c>
    </row>
    <row r="61">
      <c r="A61" s="3" t="s">
        <v>397</v>
      </c>
      <c r="B61" s="3" t="s">
        <v>398</v>
      </c>
      <c r="C61" s="4">
        <v>45032.0</v>
      </c>
      <c r="D61" s="10" t="s">
        <v>400</v>
      </c>
      <c r="E61" s="3" t="s">
        <v>42</v>
      </c>
      <c r="F61" s="5">
        <v>9883.0</v>
      </c>
      <c r="G61" s="6">
        <v>3.0</v>
      </c>
      <c r="H61" s="7">
        <v>0.05</v>
      </c>
      <c r="I61" s="3" t="s">
        <v>34</v>
      </c>
      <c r="J61" s="3" t="s">
        <v>73</v>
      </c>
      <c r="K61" s="3" t="s">
        <v>35</v>
      </c>
      <c r="L61" s="3" t="s">
        <v>46</v>
      </c>
      <c r="M61" s="5">
        <v>28166.55</v>
      </c>
      <c r="N61" s="11">
        <f t="shared" si="1"/>
        <v>29649</v>
      </c>
    </row>
    <row r="62">
      <c r="A62" s="3" t="s">
        <v>403</v>
      </c>
      <c r="B62" s="3" t="s">
        <v>404</v>
      </c>
      <c r="C62" s="4">
        <v>44969.0</v>
      </c>
      <c r="D62" s="10" t="s">
        <v>406</v>
      </c>
      <c r="E62" s="3" t="s">
        <v>17</v>
      </c>
      <c r="F62" s="5">
        <v>8924.0</v>
      </c>
      <c r="G62" s="6">
        <v>2.0</v>
      </c>
      <c r="H62" s="7">
        <v>0.1</v>
      </c>
      <c r="I62" s="3" t="s">
        <v>65</v>
      </c>
      <c r="J62" s="3" t="s">
        <v>45</v>
      </c>
      <c r="K62" s="3" t="s">
        <v>35</v>
      </c>
      <c r="L62" s="3" t="s">
        <v>24</v>
      </c>
      <c r="M62" s="5">
        <v>16063.2</v>
      </c>
      <c r="N62" s="11">
        <f t="shared" si="1"/>
        <v>17848</v>
      </c>
    </row>
    <row r="63">
      <c r="A63" s="3" t="s">
        <v>409</v>
      </c>
      <c r="B63" s="3" t="s">
        <v>410</v>
      </c>
      <c r="C63" s="4">
        <v>44958.0</v>
      </c>
      <c r="D63" s="10" t="s">
        <v>411</v>
      </c>
      <c r="E63" s="3" t="s">
        <v>42</v>
      </c>
      <c r="F63" s="5">
        <v>9370.0</v>
      </c>
      <c r="G63" s="6">
        <v>3.0</v>
      </c>
      <c r="H63" s="7">
        <v>0.15</v>
      </c>
      <c r="I63" s="3" t="s">
        <v>65</v>
      </c>
      <c r="J63" s="3" t="s">
        <v>22</v>
      </c>
      <c r="K63" s="3" t="s">
        <v>35</v>
      </c>
      <c r="L63" s="3" t="s">
        <v>24</v>
      </c>
      <c r="M63" s="5">
        <v>23893.5</v>
      </c>
      <c r="N63" s="11">
        <f t="shared" si="1"/>
        <v>28110</v>
      </c>
    </row>
    <row r="64">
      <c r="A64" s="3" t="s">
        <v>414</v>
      </c>
      <c r="B64" s="3" t="s">
        <v>415</v>
      </c>
      <c r="C64" s="4">
        <v>45184.0</v>
      </c>
      <c r="D64" s="10" t="s">
        <v>417</v>
      </c>
      <c r="E64" s="3" t="s">
        <v>17</v>
      </c>
      <c r="F64" s="5">
        <v>8551.0</v>
      </c>
      <c r="G64" s="6">
        <v>2.0</v>
      </c>
      <c r="H64" s="7">
        <v>0.12</v>
      </c>
      <c r="I64" s="3" t="s">
        <v>65</v>
      </c>
      <c r="J64" s="3" t="s">
        <v>73</v>
      </c>
      <c r="K64" s="3" t="s">
        <v>35</v>
      </c>
      <c r="L64" s="3" t="s">
        <v>36</v>
      </c>
      <c r="M64" s="5">
        <v>15049.76</v>
      </c>
      <c r="N64" s="11">
        <f t="shared" si="1"/>
        <v>17102</v>
      </c>
    </row>
    <row r="65">
      <c r="A65" s="3" t="s">
        <v>420</v>
      </c>
      <c r="B65" s="3" t="s">
        <v>421</v>
      </c>
      <c r="C65" s="4">
        <v>45248.0</v>
      </c>
      <c r="D65" s="10" t="s">
        <v>423</v>
      </c>
      <c r="E65" s="3" t="s">
        <v>30</v>
      </c>
      <c r="F65" s="5">
        <v>9022.0</v>
      </c>
      <c r="G65" s="6">
        <v>4.0</v>
      </c>
      <c r="H65" s="7">
        <v>0.14</v>
      </c>
      <c r="I65" s="3" t="s">
        <v>21</v>
      </c>
      <c r="J65" s="3" t="s">
        <v>22</v>
      </c>
      <c r="K65" s="3" t="s">
        <v>81</v>
      </c>
      <c r="L65" s="3" t="s">
        <v>24</v>
      </c>
      <c r="M65" s="5">
        <v>31035.68</v>
      </c>
      <c r="N65" s="11">
        <f t="shared" si="1"/>
        <v>36088</v>
      </c>
    </row>
    <row r="66">
      <c r="A66" s="3" t="s">
        <v>426</v>
      </c>
      <c r="B66" s="3" t="s">
        <v>427</v>
      </c>
      <c r="C66" s="4">
        <v>44984.0</v>
      </c>
      <c r="D66" s="10" t="s">
        <v>429</v>
      </c>
      <c r="E66" s="3" t="s">
        <v>42</v>
      </c>
      <c r="F66" s="5">
        <v>7159.0</v>
      </c>
      <c r="G66" s="6">
        <v>2.0</v>
      </c>
      <c r="H66" s="7">
        <v>0.08</v>
      </c>
      <c r="I66" s="3" t="s">
        <v>21</v>
      </c>
      <c r="J66" s="3" t="s">
        <v>56</v>
      </c>
      <c r="K66" s="3" t="s">
        <v>23</v>
      </c>
      <c r="L66" s="3" t="s">
        <v>36</v>
      </c>
      <c r="M66" s="5">
        <v>13172.56</v>
      </c>
      <c r="N66" s="11">
        <f t="shared" si="1"/>
        <v>14318</v>
      </c>
    </row>
    <row r="67">
      <c r="A67" s="3" t="s">
        <v>432</v>
      </c>
      <c r="B67" s="3" t="s">
        <v>433</v>
      </c>
      <c r="C67" s="4">
        <v>45218.0</v>
      </c>
      <c r="D67" s="10" t="s">
        <v>435</v>
      </c>
      <c r="E67" s="3" t="s">
        <v>42</v>
      </c>
      <c r="F67" s="5">
        <v>8148.0</v>
      </c>
      <c r="G67" s="6">
        <v>4.0</v>
      </c>
      <c r="H67" s="7">
        <v>0.09</v>
      </c>
      <c r="I67" s="3" t="s">
        <v>65</v>
      </c>
      <c r="J67" s="3" t="s">
        <v>45</v>
      </c>
      <c r="K67" s="3" t="s">
        <v>35</v>
      </c>
      <c r="L67" s="3" t="s">
        <v>46</v>
      </c>
      <c r="M67" s="5">
        <v>29658.72</v>
      </c>
      <c r="N67" s="11">
        <f t="shared" si="1"/>
        <v>32592</v>
      </c>
    </row>
    <row r="68">
      <c r="A68" s="3" t="s">
        <v>438</v>
      </c>
      <c r="B68" s="3" t="s">
        <v>439</v>
      </c>
      <c r="C68" s="4">
        <v>45285.0</v>
      </c>
      <c r="D68" s="10" t="s">
        <v>441</v>
      </c>
      <c r="E68" s="3" t="s">
        <v>42</v>
      </c>
      <c r="F68" s="5">
        <v>7926.0</v>
      </c>
      <c r="G68" s="6">
        <v>3.0</v>
      </c>
      <c r="H68" s="7">
        <v>0.17</v>
      </c>
      <c r="I68" s="3" t="s">
        <v>34</v>
      </c>
      <c r="J68" s="3" t="s">
        <v>56</v>
      </c>
      <c r="K68" s="3" t="s">
        <v>81</v>
      </c>
      <c r="L68" s="3" t="s">
        <v>36</v>
      </c>
      <c r="M68" s="5">
        <v>19735.74</v>
      </c>
      <c r="N68" s="11">
        <f t="shared" si="1"/>
        <v>23778</v>
      </c>
    </row>
    <row r="69">
      <c r="A69" s="3" t="s">
        <v>444</v>
      </c>
      <c r="B69" s="3" t="s">
        <v>445</v>
      </c>
      <c r="C69" s="4">
        <v>45046.0</v>
      </c>
      <c r="D69" s="10" t="s">
        <v>447</v>
      </c>
      <c r="E69" s="3" t="s">
        <v>52</v>
      </c>
      <c r="F69" s="5">
        <v>1104.0</v>
      </c>
      <c r="G69" s="6">
        <v>1.0</v>
      </c>
      <c r="H69" s="7">
        <v>0.12</v>
      </c>
      <c r="I69" s="3" t="s">
        <v>34</v>
      </c>
      <c r="J69" s="3" t="s">
        <v>73</v>
      </c>
      <c r="K69" s="3" t="s">
        <v>35</v>
      </c>
      <c r="L69" s="3" t="s">
        <v>36</v>
      </c>
      <c r="M69" s="5">
        <v>971.52</v>
      </c>
      <c r="N69" s="11">
        <f t="shared" si="1"/>
        <v>1104</v>
      </c>
    </row>
    <row r="70">
      <c r="A70" s="3" t="s">
        <v>450</v>
      </c>
      <c r="B70" s="3" t="s">
        <v>451</v>
      </c>
      <c r="C70" s="4">
        <v>45194.0</v>
      </c>
      <c r="D70" s="10" t="s">
        <v>453</v>
      </c>
      <c r="E70" s="3" t="s">
        <v>42</v>
      </c>
      <c r="F70" s="5">
        <v>3872.0</v>
      </c>
      <c r="G70" s="6">
        <v>1.0</v>
      </c>
      <c r="H70" s="7">
        <v>0.12</v>
      </c>
      <c r="I70" s="3" t="s">
        <v>65</v>
      </c>
      <c r="J70" s="3" t="s">
        <v>56</v>
      </c>
      <c r="K70" s="3" t="s">
        <v>88</v>
      </c>
      <c r="L70" s="3" t="s">
        <v>24</v>
      </c>
      <c r="M70" s="5">
        <v>3407.36</v>
      </c>
      <c r="N70" s="11">
        <f t="shared" si="1"/>
        <v>3872</v>
      </c>
    </row>
    <row r="71">
      <c r="A71" s="3" t="s">
        <v>456</v>
      </c>
      <c r="B71" s="3" t="s">
        <v>457</v>
      </c>
      <c r="C71" s="4">
        <v>45009.0</v>
      </c>
      <c r="D71" s="10" t="s">
        <v>459</v>
      </c>
      <c r="E71" s="3" t="s">
        <v>52</v>
      </c>
      <c r="F71" s="5">
        <v>4909.0</v>
      </c>
      <c r="G71" s="6">
        <v>4.0</v>
      </c>
      <c r="H71" s="7">
        <v>0.06</v>
      </c>
      <c r="I71" s="3" t="s">
        <v>65</v>
      </c>
      <c r="J71" s="3" t="s">
        <v>45</v>
      </c>
      <c r="K71" s="3" t="s">
        <v>23</v>
      </c>
      <c r="L71" s="3" t="s">
        <v>46</v>
      </c>
      <c r="M71" s="5">
        <v>18457.84</v>
      </c>
      <c r="N71" s="11">
        <f t="shared" si="1"/>
        <v>19636</v>
      </c>
    </row>
    <row r="72">
      <c r="A72" s="3" t="s">
        <v>462</v>
      </c>
      <c r="B72" s="3" t="s">
        <v>463</v>
      </c>
      <c r="C72" s="4">
        <v>45018.0</v>
      </c>
      <c r="D72" s="10" t="s">
        <v>465</v>
      </c>
      <c r="E72" s="3" t="s">
        <v>200</v>
      </c>
      <c r="F72" s="5">
        <v>3706.0</v>
      </c>
      <c r="G72" s="6">
        <v>2.0</v>
      </c>
      <c r="H72" s="7">
        <v>0.08</v>
      </c>
      <c r="I72" s="3" t="s">
        <v>21</v>
      </c>
      <c r="J72" s="3" t="s">
        <v>45</v>
      </c>
      <c r="K72" s="3" t="s">
        <v>88</v>
      </c>
      <c r="L72" s="3" t="s">
        <v>24</v>
      </c>
      <c r="M72" s="5">
        <v>6819.04</v>
      </c>
      <c r="N72" s="11">
        <f t="shared" si="1"/>
        <v>7412</v>
      </c>
    </row>
    <row r="73">
      <c r="A73" s="3" t="s">
        <v>468</v>
      </c>
      <c r="B73" s="3" t="s">
        <v>469</v>
      </c>
      <c r="C73" s="4">
        <v>45026.0</v>
      </c>
      <c r="D73" s="10" t="s">
        <v>470</v>
      </c>
      <c r="E73" s="3" t="s">
        <v>200</v>
      </c>
      <c r="F73" s="5">
        <v>8398.0</v>
      </c>
      <c r="G73" s="6">
        <v>2.0</v>
      </c>
      <c r="H73" s="7">
        <v>0.13</v>
      </c>
      <c r="I73" s="3" t="s">
        <v>34</v>
      </c>
      <c r="J73" s="3" t="s">
        <v>22</v>
      </c>
      <c r="K73" s="3" t="s">
        <v>88</v>
      </c>
      <c r="L73" s="3" t="s">
        <v>46</v>
      </c>
      <c r="M73" s="5">
        <v>14612.52</v>
      </c>
      <c r="N73" s="11">
        <f t="shared" si="1"/>
        <v>16796</v>
      </c>
    </row>
    <row r="74">
      <c r="A74" s="3" t="s">
        <v>473</v>
      </c>
      <c r="B74" s="3" t="s">
        <v>474</v>
      </c>
      <c r="C74" s="4">
        <v>44980.0</v>
      </c>
      <c r="D74" s="10" t="s">
        <v>475</v>
      </c>
      <c r="E74" s="3" t="s">
        <v>30</v>
      </c>
      <c r="F74" s="5">
        <v>9420.0</v>
      </c>
      <c r="G74" s="6">
        <v>2.0</v>
      </c>
      <c r="H74" s="7">
        <v>0.06</v>
      </c>
      <c r="I74" s="3" t="s">
        <v>55</v>
      </c>
      <c r="J74" s="3" t="s">
        <v>22</v>
      </c>
      <c r="K74" s="3" t="s">
        <v>35</v>
      </c>
      <c r="L74" s="3" t="s">
        <v>36</v>
      </c>
      <c r="M74" s="5">
        <v>17709.6</v>
      </c>
      <c r="N74" s="11">
        <f t="shared" si="1"/>
        <v>18840</v>
      </c>
    </row>
    <row r="75">
      <c r="A75" s="3" t="s">
        <v>478</v>
      </c>
      <c r="B75" s="3" t="s">
        <v>479</v>
      </c>
      <c r="C75" s="4">
        <v>45048.0</v>
      </c>
      <c r="D75" s="10" t="s">
        <v>481</v>
      </c>
      <c r="E75" s="3" t="s">
        <v>30</v>
      </c>
      <c r="F75" s="5">
        <v>6912.0</v>
      </c>
      <c r="G75" s="6">
        <v>1.0</v>
      </c>
      <c r="H75" s="7">
        <v>0.2</v>
      </c>
      <c r="I75" s="3" t="s">
        <v>21</v>
      </c>
      <c r="J75" s="3" t="s">
        <v>45</v>
      </c>
      <c r="K75" s="3" t="s">
        <v>23</v>
      </c>
      <c r="L75" s="3" t="s">
        <v>24</v>
      </c>
      <c r="M75" s="5">
        <v>5529.6</v>
      </c>
      <c r="N75" s="11">
        <f t="shared" si="1"/>
        <v>6912</v>
      </c>
    </row>
    <row r="76">
      <c r="A76" s="3" t="s">
        <v>485</v>
      </c>
      <c r="B76" s="3" t="s">
        <v>486</v>
      </c>
      <c r="C76" s="4">
        <v>45011.0</v>
      </c>
      <c r="D76" s="10" t="s">
        <v>488</v>
      </c>
      <c r="E76" s="3" t="s">
        <v>42</v>
      </c>
      <c r="F76" s="5">
        <v>2289.0</v>
      </c>
      <c r="G76" s="6">
        <v>3.0</v>
      </c>
      <c r="H76" s="7">
        <v>0.11</v>
      </c>
      <c r="I76" s="3" t="s">
        <v>55</v>
      </c>
      <c r="J76" s="3" t="s">
        <v>56</v>
      </c>
      <c r="K76" s="3" t="s">
        <v>88</v>
      </c>
      <c r="L76" s="3" t="s">
        <v>24</v>
      </c>
      <c r="M76" s="5">
        <v>6111.63</v>
      </c>
      <c r="N76" s="11">
        <f t="shared" si="1"/>
        <v>6867</v>
      </c>
    </row>
    <row r="77">
      <c r="A77" s="3" t="s">
        <v>491</v>
      </c>
      <c r="B77" s="3" t="s">
        <v>492</v>
      </c>
      <c r="C77" s="4">
        <v>45130.0</v>
      </c>
      <c r="D77" s="10" t="s">
        <v>494</v>
      </c>
      <c r="E77" s="3" t="s">
        <v>200</v>
      </c>
      <c r="F77" s="5">
        <v>5202.0</v>
      </c>
      <c r="G77" s="6">
        <v>3.0</v>
      </c>
      <c r="H77" s="7">
        <v>0.18</v>
      </c>
      <c r="I77" s="3" t="s">
        <v>55</v>
      </c>
      <c r="J77" s="3" t="s">
        <v>22</v>
      </c>
      <c r="K77" s="3" t="s">
        <v>23</v>
      </c>
      <c r="L77" s="3" t="s">
        <v>24</v>
      </c>
      <c r="M77" s="5">
        <v>12796.92</v>
      </c>
      <c r="N77" s="11">
        <f t="shared" si="1"/>
        <v>15606</v>
      </c>
    </row>
    <row r="78">
      <c r="A78" s="3" t="s">
        <v>497</v>
      </c>
      <c r="B78" s="3" t="s">
        <v>498</v>
      </c>
      <c r="C78" s="4">
        <v>45251.0</v>
      </c>
      <c r="D78" s="10" t="s">
        <v>500</v>
      </c>
      <c r="E78" s="3" t="s">
        <v>30</v>
      </c>
      <c r="F78" s="5">
        <v>4302.0</v>
      </c>
      <c r="G78" s="6">
        <v>3.0</v>
      </c>
      <c r="H78" s="7">
        <v>0.17</v>
      </c>
      <c r="I78" s="3" t="s">
        <v>21</v>
      </c>
      <c r="J78" s="3" t="s">
        <v>73</v>
      </c>
      <c r="K78" s="3" t="s">
        <v>81</v>
      </c>
      <c r="L78" s="3" t="s">
        <v>36</v>
      </c>
      <c r="M78" s="5">
        <v>10711.98</v>
      </c>
      <c r="N78" s="11">
        <f t="shared" si="1"/>
        <v>12906</v>
      </c>
    </row>
    <row r="79">
      <c r="A79" s="3" t="s">
        <v>503</v>
      </c>
      <c r="B79" s="3" t="s">
        <v>504</v>
      </c>
      <c r="C79" s="4">
        <v>45189.0</v>
      </c>
      <c r="D79" s="10" t="s">
        <v>506</v>
      </c>
      <c r="E79" s="3" t="s">
        <v>17</v>
      </c>
      <c r="F79" s="5">
        <v>1745.0</v>
      </c>
      <c r="G79" s="6">
        <v>1.0</v>
      </c>
      <c r="H79" s="7">
        <v>0.17</v>
      </c>
      <c r="I79" s="3" t="s">
        <v>55</v>
      </c>
      <c r="J79" s="3" t="s">
        <v>56</v>
      </c>
      <c r="K79" s="3" t="s">
        <v>35</v>
      </c>
      <c r="L79" s="3" t="s">
        <v>36</v>
      </c>
      <c r="M79" s="5">
        <v>1448.35</v>
      </c>
      <c r="N79" s="11">
        <f t="shared" si="1"/>
        <v>1745</v>
      </c>
    </row>
    <row r="80">
      <c r="A80" s="3" t="s">
        <v>509</v>
      </c>
      <c r="B80" s="3" t="s">
        <v>510</v>
      </c>
      <c r="C80" s="4">
        <v>44974.0</v>
      </c>
      <c r="D80" s="10" t="s">
        <v>511</v>
      </c>
      <c r="E80" s="3" t="s">
        <v>17</v>
      </c>
      <c r="F80" s="5">
        <v>8507.0</v>
      </c>
      <c r="G80" s="6">
        <v>3.0</v>
      </c>
      <c r="H80" s="7">
        <v>0.11</v>
      </c>
      <c r="I80" s="3" t="s">
        <v>34</v>
      </c>
      <c r="J80" s="3" t="s">
        <v>56</v>
      </c>
      <c r="K80" s="3" t="s">
        <v>88</v>
      </c>
      <c r="L80" s="3" t="s">
        <v>46</v>
      </c>
      <c r="M80" s="5">
        <v>22713.69</v>
      </c>
      <c r="N80" s="11">
        <f t="shared" si="1"/>
        <v>25521</v>
      </c>
    </row>
    <row r="81">
      <c r="A81" s="3" t="s">
        <v>514</v>
      </c>
      <c r="B81" s="3" t="s">
        <v>515</v>
      </c>
      <c r="C81" s="4">
        <v>45054.0</v>
      </c>
      <c r="D81" s="10" t="s">
        <v>516</v>
      </c>
      <c r="E81" s="3" t="s">
        <v>17</v>
      </c>
      <c r="F81" s="5">
        <v>2505.0</v>
      </c>
      <c r="G81" s="6">
        <v>4.0</v>
      </c>
      <c r="H81" s="7">
        <v>0.19</v>
      </c>
      <c r="I81" s="3" t="s">
        <v>55</v>
      </c>
      <c r="J81" s="3" t="s">
        <v>56</v>
      </c>
      <c r="K81" s="3" t="s">
        <v>35</v>
      </c>
      <c r="L81" s="3" t="s">
        <v>46</v>
      </c>
      <c r="M81" s="5">
        <v>8116.2</v>
      </c>
      <c r="N81" s="11">
        <f t="shared" si="1"/>
        <v>10020</v>
      </c>
    </row>
    <row r="82">
      <c r="A82" s="3" t="s">
        <v>520</v>
      </c>
      <c r="B82" s="3" t="s">
        <v>521</v>
      </c>
      <c r="C82" s="4">
        <v>45058.0</v>
      </c>
      <c r="D82" s="10" t="s">
        <v>523</v>
      </c>
      <c r="E82" s="3" t="s">
        <v>17</v>
      </c>
      <c r="F82" s="5">
        <v>4592.0</v>
      </c>
      <c r="G82" s="6">
        <v>4.0</v>
      </c>
      <c r="H82" s="7">
        <v>0.16</v>
      </c>
      <c r="I82" s="3" t="s">
        <v>55</v>
      </c>
      <c r="J82" s="3" t="s">
        <v>45</v>
      </c>
      <c r="K82" s="3" t="s">
        <v>88</v>
      </c>
      <c r="L82" s="3" t="s">
        <v>24</v>
      </c>
      <c r="M82" s="5">
        <v>15429.12</v>
      </c>
      <c r="N82" s="11">
        <f t="shared" si="1"/>
        <v>18368</v>
      </c>
    </row>
    <row r="83">
      <c r="A83" s="3" t="s">
        <v>526</v>
      </c>
      <c r="B83" s="3" t="s">
        <v>527</v>
      </c>
      <c r="C83" s="4">
        <v>45283.0</v>
      </c>
      <c r="D83" s="10" t="s">
        <v>529</v>
      </c>
      <c r="E83" s="3" t="s">
        <v>17</v>
      </c>
      <c r="F83" s="5">
        <v>7804.0</v>
      </c>
      <c r="G83" s="6">
        <v>1.0</v>
      </c>
      <c r="H83" s="7">
        <v>0.17</v>
      </c>
      <c r="I83" s="3" t="s">
        <v>65</v>
      </c>
      <c r="J83" s="3" t="s">
        <v>56</v>
      </c>
      <c r="K83" s="3" t="s">
        <v>121</v>
      </c>
      <c r="L83" s="3" t="s">
        <v>46</v>
      </c>
      <c r="M83" s="5">
        <v>6477.32</v>
      </c>
      <c r="N83" s="11">
        <f t="shared" si="1"/>
        <v>7804</v>
      </c>
    </row>
    <row r="84">
      <c r="A84" s="3" t="s">
        <v>532</v>
      </c>
      <c r="B84" s="3" t="s">
        <v>533</v>
      </c>
      <c r="C84" s="4">
        <v>45107.0</v>
      </c>
      <c r="D84" s="10" t="s">
        <v>535</v>
      </c>
      <c r="E84" s="3" t="s">
        <v>42</v>
      </c>
      <c r="F84" s="5">
        <v>3640.0</v>
      </c>
      <c r="G84" s="6">
        <v>2.0</v>
      </c>
      <c r="H84" s="7">
        <v>0.05</v>
      </c>
      <c r="I84" s="3" t="s">
        <v>65</v>
      </c>
      <c r="J84" s="3" t="s">
        <v>22</v>
      </c>
      <c r="K84" s="3" t="s">
        <v>121</v>
      </c>
      <c r="L84" s="3" t="s">
        <v>36</v>
      </c>
      <c r="M84" s="5">
        <v>6916.0</v>
      </c>
      <c r="N84" s="11">
        <f t="shared" si="1"/>
        <v>7280</v>
      </c>
    </row>
    <row r="85">
      <c r="A85" s="3" t="s">
        <v>538</v>
      </c>
      <c r="B85" s="3" t="s">
        <v>539</v>
      </c>
      <c r="C85" s="4">
        <v>45261.0</v>
      </c>
      <c r="D85" s="10" t="s">
        <v>541</v>
      </c>
      <c r="E85" s="3" t="s">
        <v>52</v>
      </c>
      <c r="F85" s="5">
        <v>6620.0</v>
      </c>
      <c r="G85" s="6">
        <v>3.0</v>
      </c>
      <c r="H85" s="7">
        <v>0.05</v>
      </c>
      <c r="I85" s="3" t="s">
        <v>21</v>
      </c>
      <c r="J85" s="3" t="s">
        <v>56</v>
      </c>
      <c r="K85" s="3" t="s">
        <v>121</v>
      </c>
      <c r="L85" s="3" t="s">
        <v>36</v>
      </c>
      <c r="M85" s="5">
        <v>18867.0</v>
      </c>
      <c r="N85" s="11">
        <f t="shared" si="1"/>
        <v>19860</v>
      </c>
    </row>
    <row r="86">
      <c r="A86" s="3" t="s">
        <v>544</v>
      </c>
      <c r="B86" s="3" t="s">
        <v>545</v>
      </c>
      <c r="C86" s="4">
        <v>45070.0</v>
      </c>
      <c r="D86" s="10" t="s">
        <v>547</v>
      </c>
      <c r="E86" s="3" t="s">
        <v>30</v>
      </c>
      <c r="F86" s="5">
        <v>2347.0</v>
      </c>
      <c r="G86" s="6">
        <v>3.0</v>
      </c>
      <c r="H86" s="7">
        <v>0.13</v>
      </c>
      <c r="I86" s="3" t="s">
        <v>34</v>
      </c>
      <c r="J86" s="3" t="s">
        <v>22</v>
      </c>
      <c r="K86" s="3" t="s">
        <v>121</v>
      </c>
      <c r="L86" s="3" t="s">
        <v>24</v>
      </c>
      <c r="M86" s="5">
        <v>6125.67</v>
      </c>
      <c r="N86" s="11">
        <f t="shared" si="1"/>
        <v>7041</v>
      </c>
    </row>
    <row r="87">
      <c r="A87" s="3" t="s">
        <v>550</v>
      </c>
      <c r="B87" s="3" t="s">
        <v>551</v>
      </c>
      <c r="C87" s="4">
        <v>45075.0</v>
      </c>
      <c r="D87" s="10" t="s">
        <v>553</v>
      </c>
      <c r="E87" s="3" t="s">
        <v>52</v>
      </c>
      <c r="F87" s="5">
        <v>5933.0</v>
      </c>
      <c r="G87" s="6">
        <v>4.0</v>
      </c>
      <c r="H87" s="7">
        <v>0.11</v>
      </c>
      <c r="I87" s="3" t="s">
        <v>55</v>
      </c>
      <c r="J87" s="3" t="s">
        <v>73</v>
      </c>
      <c r="K87" s="3" t="s">
        <v>88</v>
      </c>
      <c r="L87" s="3" t="s">
        <v>46</v>
      </c>
      <c r="M87" s="5">
        <v>21121.48</v>
      </c>
      <c r="N87" s="11">
        <f t="shared" si="1"/>
        <v>23732</v>
      </c>
    </row>
    <row r="88">
      <c r="A88" s="3" t="s">
        <v>556</v>
      </c>
      <c r="B88" s="3" t="s">
        <v>557</v>
      </c>
      <c r="C88" s="4">
        <v>45154.0</v>
      </c>
      <c r="D88" s="10" t="s">
        <v>559</v>
      </c>
      <c r="E88" s="3" t="s">
        <v>17</v>
      </c>
      <c r="F88" s="5">
        <v>4551.0</v>
      </c>
      <c r="G88" s="6">
        <v>1.0</v>
      </c>
      <c r="H88" s="7">
        <v>0.16</v>
      </c>
      <c r="I88" s="3" t="s">
        <v>34</v>
      </c>
      <c r="J88" s="3" t="s">
        <v>73</v>
      </c>
      <c r="K88" s="3" t="s">
        <v>81</v>
      </c>
      <c r="L88" s="3" t="s">
        <v>36</v>
      </c>
      <c r="M88" s="5">
        <v>3822.84</v>
      </c>
      <c r="N88" s="11">
        <f t="shared" si="1"/>
        <v>4551</v>
      </c>
    </row>
    <row r="89">
      <c r="A89" s="3" t="s">
        <v>562</v>
      </c>
      <c r="B89" s="3" t="s">
        <v>563</v>
      </c>
      <c r="C89" s="4">
        <v>45206.0</v>
      </c>
      <c r="D89" s="10" t="s">
        <v>565</v>
      </c>
      <c r="E89" s="3" t="s">
        <v>17</v>
      </c>
      <c r="F89" s="5">
        <v>296.0</v>
      </c>
      <c r="G89" s="6">
        <v>2.0</v>
      </c>
      <c r="H89" s="7">
        <v>0.14</v>
      </c>
      <c r="I89" s="3" t="s">
        <v>55</v>
      </c>
      <c r="J89" s="3" t="s">
        <v>73</v>
      </c>
      <c r="K89" s="3" t="s">
        <v>81</v>
      </c>
      <c r="L89" s="3" t="s">
        <v>46</v>
      </c>
      <c r="M89" s="5">
        <v>509.12</v>
      </c>
      <c r="N89" s="11">
        <f t="shared" si="1"/>
        <v>592</v>
      </c>
    </row>
    <row r="90">
      <c r="A90" s="3" t="s">
        <v>568</v>
      </c>
      <c r="B90" s="3" t="s">
        <v>569</v>
      </c>
      <c r="C90" s="4">
        <v>45134.0</v>
      </c>
      <c r="D90" s="10" t="s">
        <v>571</v>
      </c>
      <c r="E90" s="3" t="s">
        <v>17</v>
      </c>
      <c r="F90" s="5">
        <v>7465.0</v>
      </c>
      <c r="G90" s="6">
        <v>3.0</v>
      </c>
      <c r="H90" s="7">
        <v>0.16</v>
      </c>
      <c r="I90" s="3" t="s">
        <v>34</v>
      </c>
      <c r="J90" s="3" t="s">
        <v>56</v>
      </c>
      <c r="K90" s="3" t="s">
        <v>23</v>
      </c>
      <c r="L90" s="3" t="s">
        <v>36</v>
      </c>
      <c r="M90" s="5">
        <v>18811.8</v>
      </c>
      <c r="N90" s="11">
        <f t="shared" si="1"/>
        <v>22395</v>
      </c>
    </row>
    <row r="91">
      <c r="A91" s="3" t="s">
        <v>574</v>
      </c>
      <c r="B91" s="3" t="s">
        <v>575</v>
      </c>
      <c r="C91" s="4">
        <v>45268.0</v>
      </c>
      <c r="D91" s="10" t="s">
        <v>577</v>
      </c>
      <c r="E91" s="3" t="s">
        <v>42</v>
      </c>
      <c r="F91" s="5">
        <v>4268.0</v>
      </c>
      <c r="G91" s="6">
        <v>1.0</v>
      </c>
      <c r="H91" s="7">
        <v>0.13</v>
      </c>
      <c r="I91" s="3" t="s">
        <v>55</v>
      </c>
      <c r="J91" s="3" t="s">
        <v>45</v>
      </c>
      <c r="K91" s="3" t="s">
        <v>35</v>
      </c>
      <c r="L91" s="3" t="s">
        <v>46</v>
      </c>
      <c r="M91" s="5">
        <v>3713.16</v>
      </c>
      <c r="N91" s="11">
        <f t="shared" si="1"/>
        <v>4268</v>
      </c>
    </row>
    <row r="92">
      <c r="A92" s="3" t="s">
        <v>580</v>
      </c>
      <c r="B92" s="3" t="s">
        <v>581</v>
      </c>
      <c r="C92" s="4">
        <v>44975.0</v>
      </c>
      <c r="D92" s="10" t="s">
        <v>583</v>
      </c>
      <c r="E92" s="3" t="s">
        <v>17</v>
      </c>
      <c r="F92" s="5">
        <v>1725.0</v>
      </c>
      <c r="G92" s="6">
        <v>1.0</v>
      </c>
      <c r="H92" s="7">
        <v>0.07</v>
      </c>
      <c r="I92" s="3" t="s">
        <v>21</v>
      </c>
      <c r="J92" s="3" t="s">
        <v>22</v>
      </c>
      <c r="K92" s="3" t="s">
        <v>23</v>
      </c>
      <c r="L92" s="3" t="s">
        <v>36</v>
      </c>
      <c r="M92" s="5">
        <v>1604.25</v>
      </c>
      <c r="N92" s="11">
        <f t="shared" si="1"/>
        <v>1725</v>
      </c>
    </row>
    <row r="93">
      <c r="A93" s="3" t="s">
        <v>586</v>
      </c>
      <c r="B93" s="3" t="s">
        <v>587</v>
      </c>
      <c r="C93" s="4">
        <v>45232.0</v>
      </c>
      <c r="D93" s="10" t="s">
        <v>589</v>
      </c>
      <c r="E93" s="3" t="s">
        <v>42</v>
      </c>
      <c r="F93" s="5">
        <v>2716.0</v>
      </c>
      <c r="G93" s="6">
        <v>3.0</v>
      </c>
      <c r="H93" s="7">
        <v>0.11</v>
      </c>
      <c r="I93" s="3" t="s">
        <v>21</v>
      </c>
      <c r="J93" s="3" t="s">
        <v>56</v>
      </c>
      <c r="K93" s="3" t="s">
        <v>23</v>
      </c>
      <c r="L93" s="3" t="s">
        <v>46</v>
      </c>
      <c r="M93" s="5">
        <v>7251.72</v>
      </c>
      <c r="N93" s="11">
        <f t="shared" si="1"/>
        <v>8148</v>
      </c>
    </row>
    <row r="94">
      <c r="A94" s="3" t="s">
        <v>592</v>
      </c>
      <c r="B94" s="3" t="s">
        <v>593</v>
      </c>
      <c r="C94" s="4">
        <v>44996.0</v>
      </c>
      <c r="D94" s="10" t="s">
        <v>595</v>
      </c>
      <c r="E94" s="3" t="s">
        <v>42</v>
      </c>
      <c r="F94" s="5">
        <v>4343.0</v>
      </c>
      <c r="G94" s="6">
        <v>2.0</v>
      </c>
      <c r="H94" s="7">
        <v>0.11</v>
      </c>
      <c r="I94" s="3" t="s">
        <v>34</v>
      </c>
      <c r="J94" s="3" t="s">
        <v>45</v>
      </c>
      <c r="K94" s="3" t="s">
        <v>81</v>
      </c>
      <c r="L94" s="3" t="s">
        <v>46</v>
      </c>
      <c r="M94" s="5">
        <v>7730.54</v>
      </c>
      <c r="N94" s="11">
        <f t="shared" si="1"/>
        <v>8686</v>
      </c>
    </row>
    <row r="95">
      <c r="A95" s="3" t="s">
        <v>598</v>
      </c>
      <c r="B95" s="3" t="s">
        <v>599</v>
      </c>
      <c r="C95" s="4">
        <v>45096.0</v>
      </c>
      <c r="D95" s="10" t="s">
        <v>601</v>
      </c>
      <c r="E95" s="3" t="s">
        <v>30</v>
      </c>
      <c r="F95" s="5">
        <v>6463.0</v>
      </c>
      <c r="G95" s="6">
        <v>3.0</v>
      </c>
      <c r="H95" s="7">
        <v>0.13</v>
      </c>
      <c r="I95" s="3" t="s">
        <v>65</v>
      </c>
      <c r="J95" s="3" t="s">
        <v>45</v>
      </c>
      <c r="K95" s="3" t="s">
        <v>81</v>
      </c>
      <c r="L95" s="3" t="s">
        <v>24</v>
      </c>
      <c r="M95" s="5">
        <v>16868.43</v>
      </c>
      <c r="N95" s="11">
        <f t="shared" si="1"/>
        <v>19389</v>
      </c>
    </row>
    <row r="96">
      <c r="A96" s="3" t="s">
        <v>604</v>
      </c>
      <c r="B96" s="3" t="s">
        <v>605</v>
      </c>
      <c r="C96" s="4">
        <v>45090.0</v>
      </c>
      <c r="D96" s="10" t="s">
        <v>606</v>
      </c>
      <c r="E96" s="3" t="s">
        <v>17</v>
      </c>
      <c r="F96" s="5">
        <v>1303.0</v>
      </c>
      <c r="G96" s="6">
        <v>1.0</v>
      </c>
      <c r="H96" s="7">
        <v>0.09</v>
      </c>
      <c r="I96" s="3" t="s">
        <v>21</v>
      </c>
      <c r="J96" s="3" t="s">
        <v>56</v>
      </c>
      <c r="K96" s="3" t="s">
        <v>81</v>
      </c>
      <c r="L96" s="3" t="s">
        <v>24</v>
      </c>
      <c r="M96" s="5">
        <v>1185.73</v>
      </c>
      <c r="N96" s="11">
        <f t="shared" si="1"/>
        <v>1303</v>
      </c>
    </row>
    <row r="97">
      <c r="A97" s="3" t="s">
        <v>609</v>
      </c>
      <c r="B97" s="3" t="s">
        <v>610</v>
      </c>
      <c r="C97" s="4">
        <v>45022.0</v>
      </c>
      <c r="D97" s="10" t="s">
        <v>612</v>
      </c>
      <c r="E97" s="3" t="s">
        <v>17</v>
      </c>
      <c r="F97" s="5">
        <v>7695.0</v>
      </c>
      <c r="G97" s="6">
        <v>4.0</v>
      </c>
      <c r="H97" s="7">
        <v>0.08</v>
      </c>
      <c r="I97" s="3" t="s">
        <v>55</v>
      </c>
      <c r="J97" s="3" t="s">
        <v>73</v>
      </c>
      <c r="K97" s="3" t="s">
        <v>88</v>
      </c>
      <c r="L97" s="3" t="s">
        <v>46</v>
      </c>
      <c r="M97" s="5">
        <v>28317.6</v>
      </c>
      <c r="N97" s="11">
        <f t="shared" si="1"/>
        <v>30780</v>
      </c>
    </row>
    <row r="98">
      <c r="A98" s="3" t="s">
        <v>615</v>
      </c>
      <c r="B98" s="3" t="s">
        <v>616</v>
      </c>
      <c r="C98" s="4">
        <v>45124.0</v>
      </c>
      <c r="D98" s="10" t="s">
        <v>617</v>
      </c>
      <c r="E98" s="3" t="s">
        <v>30</v>
      </c>
      <c r="F98" s="5">
        <v>8641.0</v>
      </c>
      <c r="G98" s="6">
        <v>4.0</v>
      </c>
      <c r="H98" s="7">
        <v>0.05</v>
      </c>
      <c r="I98" s="3" t="s">
        <v>21</v>
      </c>
      <c r="J98" s="3" t="s">
        <v>73</v>
      </c>
      <c r="K98" s="3" t="s">
        <v>81</v>
      </c>
      <c r="L98" s="3" t="s">
        <v>36</v>
      </c>
      <c r="M98" s="5">
        <v>32835.8</v>
      </c>
      <c r="N98" s="11">
        <f t="shared" si="1"/>
        <v>34564</v>
      </c>
    </row>
    <row r="99">
      <c r="A99" s="3" t="s">
        <v>620</v>
      </c>
      <c r="B99" s="3" t="s">
        <v>621</v>
      </c>
      <c r="C99" s="4">
        <v>45021.0</v>
      </c>
      <c r="D99" s="10" t="s">
        <v>623</v>
      </c>
      <c r="E99" s="3" t="s">
        <v>200</v>
      </c>
      <c r="F99" s="5">
        <v>8587.0</v>
      </c>
      <c r="G99" s="6">
        <v>1.0</v>
      </c>
      <c r="H99" s="7">
        <v>0.1</v>
      </c>
      <c r="I99" s="3" t="s">
        <v>21</v>
      </c>
      <c r="J99" s="3" t="s">
        <v>45</v>
      </c>
      <c r="K99" s="3" t="s">
        <v>88</v>
      </c>
      <c r="L99" s="3" t="s">
        <v>24</v>
      </c>
      <c r="M99" s="5">
        <v>7728.3</v>
      </c>
      <c r="N99" s="11">
        <f t="shared" si="1"/>
        <v>8587</v>
      </c>
    </row>
    <row r="100">
      <c r="A100" s="3" t="s">
        <v>626</v>
      </c>
      <c r="B100" s="3" t="s">
        <v>627</v>
      </c>
      <c r="C100" s="4">
        <v>45183.0</v>
      </c>
      <c r="D100" s="10" t="s">
        <v>629</v>
      </c>
      <c r="E100" s="3" t="s">
        <v>30</v>
      </c>
      <c r="F100" s="5">
        <v>4538.0</v>
      </c>
      <c r="G100" s="6">
        <v>1.0</v>
      </c>
      <c r="H100" s="7">
        <v>0.09</v>
      </c>
      <c r="I100" s="3" t="s">
        <v>21</v>
      </c>
      <c r="J100" s="3" t="s">
        <v>73</v>
      </c>
      <c r="K100" s="3" t="s">
        <v>88</v>
      </c>
      <c r="L100" s="3" t="s">
        <v>46</v>
      </c>
      <c r="M100" s="5">
        <v>4129.58</v>
      </c>
      <c r="N100" s="11">
        <f t="shared" si="1"/>
        <v>4538</v>
      </c>
    </row>
    <row r="101">
      <c r="A101" s="3" t="s">
        <v>632</v>
      </c>
      <c r="B101" s="3" t="s">
        <v>633</v>
      </c>
      <c r="C101" s="4">
        <v>45105.0</v>
      </c>
      <c r="D101" s="10" t="s">
        <v>635</v>
      </c>
      <c r="E101" s="3" t="s">
        <v>42</v>
      </c>
      <c r="F101" s="5">
        <v>6450.0</v>
      </c>
      <c r="G101" s="6">
        <v>2.0</v>
      </c>
      <c r="H101" s="7">
        <v>0.2</v>
      </c>
      <c r="I101" s="3" t="s">
        <v>21</v>
      </c>
      <c r="J101" s="3" t="s">
        <v>45</v>
      </c>
      <c r="K101" s="3" t="s">
        <v>121</v>
      </c>
      <c r="L101" s="3" t="s">
        <v>24</v>
      </c>
      <c r="M101" s="5">
        <v>10320.0</v>
      </c>
      <c r="N101" s="11">
        <f t="shared" si="1"/>
        <v>12900</v>
      </c>
    </row>
    <row r="102">
      <c r="A102" s="3" t="s">
        <v>638</v>
      </c>
      <c r="B102" s="3" t="s">
        <v>639</v>
      </c>
      <c r="C102" s="4">
        <v>45219.0</v>
      </c>
      <c r="D102" s="10" t="s">
        <v>640</v>
      </c>
      <c r="E102" s="3" t="s">
        <v>30</v>
      </c>
      <c r="F102" s="5">
        <v>6838.0</v>
      </c>
      <c r="G102" s="6">
        <v>1.0</v>
      </c>
      <c r="H102" s="7">
        <v>0.2</v>
      </c>
      <c r="I102" s="3" t="s">
        <v>65</v>
      </c>
      <c r="J102" s="3" t="s">
        <v>22</v>
      </c>
      <c r="K102" s="3" t="s">
        <v>23</v>
      </c>
      <c r="L102" s="3" t="s">
        <v>36</v>
      </c>
      <c r="M102" s="5">
        <v>5470.4</v>
      </c>
      <c r="N102" s="11">
        <f t="shared" si="1"/>
        <v>6838</v>
      </c>
    </row>
    <row r="103">
      <c r="A103" s="3" t="s">
        <v>643</v>
      </c>
      <c r="B103" s="3" t="s">
        <v>644</v>
      </c>
      <c r="C103" s="4">
        <v>45231.0</v>
      </c>
      <c r="D103" s="10" t="s">
        <v>646</v>
      </c>
      <c r="E103" s="3" t="s">
        <v>17</v>
      </c>
      <c r="F103" s="5">
        <v>9271.0</v>
      </c>
      <c r="G103" s="6">
        <v>2.0</v>
      </c>
      <c r="H103" s="7">
        <v>0.07</v>
      </c>
      <c r="I103" s="3" t="s">
        <v>21</v>
      </c>
      <c r="J103" s="3" t="s">
        <v>45</v>
      </c>
      <c r="K103" s="3" t="s">
        <v>35</v>
      </c>
      <c r="L103" s="3" t="s">
        <v>36</v>
      </c>
      <c r="M103" s="5">
        <v>17244.06</v>
      </c>
      <c r="N103" s="11">
        <f t="shared" si="1"/>
        <v>18542</v>
      </c>
    </row>
    <row r="104">
      <c r="A104" s="3" t="s">
        <v>649</v>
      </c>
      <c r="B104" s="3" t="s">
        <v>650</v>
      </c>
      <c r="C104" s="4">
        <v>45276.0</v>
      </c>
      <c r="D104" s="10" t="s">
        <v>652</v>
      </c>
      <c r="E104" s="3" t="s">
        <v>52</v>
      </c>
      <c r="F104" s="5">
        <v>8333.0</v>
      </c>
      <c r="G104" s="6">
        <v>1.0</v>
      </c>
      <c r="H104" s="7">
        <v>0.09</v>
      </c>
      <c r="I104" s="3" t="s">
        <v>65</v>
      </c>
      <c r="J104" s="3" t="s">
        <v>56</v>
      </c>
      <c r="K104" s="3" t="s">
        <v>23</v>
      </c>
      <c r="L104" s="3" t="s">
        <v>46</v>
      </c>
      <c r="M104" s="5">
        <v>7583.03</v>
      </c>
      <c r="N104" s="11">
        <f t="shared" si="1"/>
        <v>8333</v>
      </c>
    </row>
    <row r="105">
      <c r="A105" s="3" t="s">
        <v>655</v>
      </c>
      <c r="B105" s="3" t="s">
        <v>656</v>
      </c>
      <c r="C105" s="4">
        <v>45025.0</v>
      </c>
      <c r="D105" s="10" t="s">
        <v>658</v>
      </c>
      <c r="E105" s="3" t="s">
        <v>30</v>
      </c>
      <c r="F105" s="5">
        <v>376.0</v>
      </c>
      <c r="G105" s="6">
        <v>2.0</v>
      </c>
      <c r="H105" s="7">
        <v>0.06</v>
      </c>
      <c r="I105" s="3" t="s">
        <v>65</v>
      </c>
      <c r="J105" s="3" t="s">
        <v>73</v>
      </c>
      <c r="K105" s="3" t="s">
        <v>35</v>
      </c>
      <c r="L105" s="3" t="s">
        <v>24</v>
      </c>
      <c r="M105" s="5">
        <v>706.88</v>
      </c>
      <c r="N105" s="11">
        <f t="shared" si="1"/>
        <v>752</v>
      </c>
    </row>
    <row r="106">
      <c r="A106" s="3" t="s">
        <v>661</v>
      </c>
      <c r="B106" s="3" t="s">
        <v>662</v>
      </c>
      <c r="C106" s="4">
        <v>44969.0</v>
      </c>
      <c r="D106" s="10" t="s">
        <v>663</v>
      </c>
      <c r="E106" s="3" t="s">
        <v>200</v>
      </c>
      <c r="F106" s="5">
        <v>2921.0</v>
      </c>
      <c r="G106" s="6">
        <v>3.0</v>
      </c>
      <c r="H106" s="7">
        <v>0.19</v>
      </c>
      <c r="I106" s="3" t="s">
        <v>65</v>
      </c>
      <c r="J106" s="3" t="s">
        <v>56</v>
      </c>
      <c r="K106" s="3" t="s">
        <v>35</v>
      </c>
      <c r="L106" s="3" t="s">
        <v>24</v>
      </c>
      <c r="M106" s="5">
        <v>7098.03</v>
      </c>
      <c r="N106" s="11">
        <f t="shared" si="1"/>
        <v>8763</v>
      </c>
    </row>
    <row r="107">
      <c r="A107" s="3" t="s">
        <v>666</v>
      </c>
      <c r="B107" s="3" t="s">
        <v>667</v>
      </c>
      <c r="C107" s="4">
        <v>45128.0</v>
      </c>
      <c r="D107" s="10" t="s">
        <v>669</v>
      </c>
      <c r="E107" s="3" t="s">
        <v>52</v>
      </c>
      <c r="F107" s="5">
        <v>3250.0</v>
      </c>
      <c r="G107" s="6">
        <v>4.0</v>
      </c>
      <c r="H107" s="7">
        <v>0.14</v>
      </c>
      <c r="I107" s="3" t="s">
        <v>65</v>
      </c>
      <c r="J107" s="3" t="s">
        <v>73</v>
      </c>
      <c r="K107" s="3" t="s">
        <v>121</v>
      </c>
      <c r="L107" s="3" t="s">
        <v>24</v>
      </c>
      <c r="M107" s="5">
        <v>11180.0</v>
      </c>
      <c r="N107" s="11">
        <f t="shared" si="1"/>
        <v>13000</v>
      </c>
    </row>
    <row r="108">
      <c r="A108" s="3" t="s">
        <v>672</v>
      </c>
      <c r="B108" s="3" t="s">
        <v>673</v>
      </c>
      <c r="C108" s="4">
        <v>44927.0</v>
      </c>
      <c r="D108" s="10" t="s">
        <v>675</v>
      </c>
      <c r="E108" s="3" t="s">
        <v>30</v>
      </c>
      <c r="F108" s="5">
        <v>5768.0</v>
      </c>
      <c r="G108" s="6">
        <v>2.0</v>
      </c>
      <c r="H108" s="7">
        <v>0.08</v>
      </c>
      <c r="I108" s="3" t="s">
        <v>55</v>
      </c>
      <c r="J108" s="3" t="s">
        <v>22</v>
      </c>
      <c r="K108" s="3" t="s">
        <v>88</v>
      </c>
      <c r="L108" s="3" t="s">
        <v>46</v>
      </c>
      <c r="M108" s="5">
        <v>10613.12</v>
      </c>
      <c r="N108" s="11">
        <f t="shared" si="1"/>
        <v>11536</v>
      </c>
    </row>
    <row r="109">
      <c r="A109" s="3" t="s">
        <v>678</v>
      </c>
      <c r="B109" s="3" t="s">
        <v>679</v>
      </c>
      <c r="C109" s="4">
        <v>44970.0</v>
      </c>
      <c r="D109" s="10" t="s">
        <v>681</v>
      </c>
      <c r="E109" s="3" t="s">
        <v>52</v>
      </c>
      <c r="F109" s="5">
        <v>6009.0</v>
      </c>
      <c r="G109" s="6">
        <v>4.0</v>
      </c>
      <c r="H109" s="7">
        <v>0.17</v>
      </c>
      <c r="I109" s="3" t="s">
        <v>34</v>
      </c>
      <c r="J109" s="3" t="s">
        <v>22</v>
      </c>
      <c r="K109" s="3" t="s">
        <v>81</v>
      </c>
      <c r="L109" s="3" t="s">
        <v>36</v>
      </c>
      <c r="M109" s="5">
        <v>19949.88</v>
      </c>
      <c r="N109" s="11">
        <f t="shared" si="1"/>
        <v>24036</v>
      </c>
    </row>
    <row r="110">
      <c r="A110" s="3" t="s">
        <v>684</v>
      </c>
      <c r="B110" s="3" t="s">
        <v>685</v>
      </c>
      <c r="C110" s="4">
        <v>44950.0</v>
      </c>
      <c r="D110" s="10" t="s">
        <v>687</v>
      </c>
      <c r="E110" s="3" t="s">
        <v>17</v>
      </c>
      <c r="F110" s="5">
        <v>4417.0</v>
      </c>
      <c r="G110" s="6">
        <v>3.0</v>
      </c>
      <c r="H110" s="7">
        <v>0.17</v>
      </c>
      <c r="I110" s="3" t="s">
        <v>55</v>
      </c>
      <c r="J110" s="3" t="s">
        <v>45</v>
      </c>
      <c r="K110" s="3" t="s">
        <v>35</v>
      </c>
      <c r="L110" s="3" t="s">
        <v>46</v>
      </c>
      <c r="M110" s="5">
        <v>10998.33</v>
      </c>
      <c r="N110" s="11">
        <f t="shared" si="1"/>
        <v>13251</v>
      </c>
    </row>
    <row r="111">
      <c r="A111" s="3" t="s">
        <v>690</v>
      </c>
      <c r="B111" s="3" t="s">
        <v>691</v>
      </c>
      <c r="C111" s="4">
        <v>45114.0</v>
      </c>
      <c r="D111" s="10" t="s">
        <v>693</v>
      </c>
      <c r="E111" s="3" t="s">
        <v>200</v>
      </c>
      <c r="F111" s="5">
        <v>597.0</v>
      </c>
      <c r="G111" s="6">
        <v>2.0</v>
      </c>
      <c r="H111" s="7">
        <v>0.05</v>
      </c>
      <c r="I111" s="3" t="s">
        <v>55</v>
      </c>
      <c r="J111" s="3" t="s">
        <v>56</v>
      </c>
      <c r="K111" s="3" t="s">
        <v>35</v>
      </c>
      <c r="L111" s="3" t="s">
        <v>36</v>
      </c>
      <c r="M111" s="5">
        <v>1134.3</v>
      </c>
      <c r="N111" s="11">
        <f t="shared" si="1"/>
        <v>1194</v>
      </c>
    </row>
    <row r="112">
      <c r="A112" s="3" t="s">
        <v>696</v>
      </c>
      <c r="B112" s="3" t="s">
        <v>697</v>
      </c>
      <c r="C112" s="4">
        <v>45057.0</v>
      </c>
      <c r="D112" s="10" t="s">
        <v>699</v>
      </c>
      <c r="E112" s="3" t="s">
        <v>200</v>
      </c>
      <c r="F112" s="5">
        <v>9068.0</v>
      </c>
      <c r="G112" s="6">
        <v>3.0</v>
      </c>
      <c r="H112" s="7">
        <v>0.12</v>
      </c>
      <c r="I112" s="3" t="s">
        <v>65</v>
      </c>
      <c r="J112" s="3" t="s">
        <v>56</v>
      </c>
      <c r="K112" s="3" t="s">
        <v>81</v>
      </c>
      <c r="L112" s="3" t="s">
        <v>36</v>
      </c>
      <c r="M112" s="5">
        <v>23939.52</v>
      </c>
      <c r="N112" s="11">
        <f t="shared" si="1"/>
        <v>27204</v>
      </c>
    </row>
    <row r="113">
      <c r="A113" s="3" t="s">
        <v>702</v>
      </c>
      <c r="B113" s="3" t="s">
        <v>703</v>
      </c>
      <c r="C113" s="4">
        <v>45025.0</v>
      </c>
      <c r="D113" s="10" t="s">
        <v>704</v>
      </c>
      <c r="E113" s="3" t="s">
        <v>30</v>
      </c>
      <c r="F113" s="5">
        <v>5752.0</v>
      </c>
      <c r="G113" s="6">
        <v>2.0</v>
      </c>
      <c r="H113" s="7">
        <v>0.05</v>
      </c>
      <c r="I113" s="3" t="s">
        <v>65</v>
      </c>
      <c r="J113" s="3" t="s">
        <v>22</v>
      </c>
      <c r="K113" s="3" t="s">
        <v>88</v>
      </c>
      <c r="L113" s="3" t="s">
        <v>24</v>
      </c>
      <c r="M113" s="5">
        <v>10928.8</v>
      </c>
      <c r="N113" s="11">
        <f t="shared" si="1"/>
        <v>11504</v>
      </c>
    </row>
    <row r="114">
      <c r="A114" s="3" t="s">
        <v>707</v>
      </c>
      <c r="B114" s="3" t="s">
        <v>708</v>
      </c>
      <c r="C114" s="4">
        <v>44989.0</v>
      </c>
      <c r="D114" s="10" t="s">
        <v>710</v>
      </c>
      <c r="E114" s="3" t="s">
        <v>200</v>
      </c>
      <c r="F114" s="5">
        <v>5107.0</v>
      </c>
      <c r="G114" s="6">
        <v>4.0</v>
      </c>
      <c r="H114" s="7">
        <v>0.16</v>
      </c>
      <c r="I114" s="3" t="s">
        <v>34</v>
      </c>
      <c r="J114" s="3" t="s">
        <v>73</v>
      </c>
      <c r="K114" s="3" t="s">
        <v>23</v>
      </c>
      <c r="L114" s="3" t="s">
        <v>36</v>
      </c>
      <c r="M114" s="5">
        <v>17159.52</v>
      </c>
      <c r="N114" s="11">
        <f t="shared" si="1"/>
        <v>20428</v>
      </c>
    </row>
    <row r="115">
      <c r="A115" s="3" t="s">
        <v>713</v>
      </c>
      <c r="B115" s="3" t="s">
        <v>714</v>
      </c>
      <c r="C115" s="4">
        <v>45149.0</v>
      </c>
      <c r="D115" s="10" t="s">
        <v>716</v>
      </c>
      <c r="E115" s="3" t="s">
        <v>42</v>
      </c>
      <c r="F115" s="5">
        <v>6314.0</v>
      </c>
      <c r="G115" s="6">
        <v>3.0</v>
      </c>
      <c r="H115" s="7">
        <v>0.14</v>
      </c>
      <c r="I115" s="3" t="s">
        <v>34</v>
      </c>
      <c r="J115" s="3" t="s">
        <v>56</v>
      </c>
      <c r="K115" s="3" t="s">
        <v>81</v>
      </c>
      <c r="L115" s="3" t="s">
        <v>24</v>
      </c>
      <c r="M115" s="5">
        <v>16290.12</v>
      </c>
      <c r="N115" s="11">
        <f t="shared" si="1"/>
        <v>18942</v>
      </c>
    </row>
    <row r="116">
      <c r="A116" s="3" t="s">
        <v>719</v>
      </c>
      <c r="B116" s="3" t="s">
        <v>720</v>
      </c>
      <c r="C116" s="4">
        <v>45050.0</v>
      </c>
      <c r="D116" s="10" t="s">
        <v>722</v>
      </c>
      <c r="E116" s="3" t="s">
        <v>17</v>
      </c>
      <c r="F116" s="5">
        <v>3432.0</v>
      </c>
      <c r="G116" s="6">
        <v>1.0</v>
      </c>
      <c r="H116" s="7">
        <v>0.17</v>
      </c>
      <c r="I116" s="3" t="s">
        <v>34</v>
      </c>
      <c r="J116" s="3" t="s">
        <v>22</v>
      </c>
      <c r="K116" s="3" t="s">
        <v>23</v>
      </c>
      <c r="L116" s="3" t="s">
        <v>24</v>
      </c>
      <c r="M116" s="5">
        <v>2848.56</v>
      </c>
      <c r="N116" s="11">
        <f t="shared" si="1"/>
        <v>3432</v>
      </c>
    </row>
    <row r="117">
      <c r="A117" s="3" t="s">
        <v>725</v>
      </c>
      <c r="B117" s="3" t="s">
        <v>726</v>
      </c>
      <c r="C117" s="4">
        <v>45009.0</v>
      </c>
      <c r="D117" s="10" t="s">
        <v>727</v>
      </c>
      <c r="E117" s="3" t="s">
        <v>42</v>
      </c>
      <c r="F117" s="5">
        <v>8826.0</v>
      </c>
      <c r="G117" s="6">
        <v>3.0</v>
      </c>
      <c r="H117" s="7">
        <v>0.05</v>
      </c>
      <c r="I117" s="3" t="s">
        <v>34</v>
      </c>
      <c r="J117" s="3" t="s">
        <v>73</v>
      </c>
      <c r="K117" s="3" t="s">
        <v>23</v>
      </c>
      <c r="L117" s="3" t="s">
        <v>46</v>
      </c>
      <c r="M117" s="5">
        <v>25154.1</v>
      </c>
      <c r="N117" s="11">
        <f t="shared" si="1"/>
        <v>26478</v>
      </c>
    </row>
    <row r="118">
      <c r="A118" s="3" t="s">
        <v>730</v>
      </c>
      <c r="B118" s="3" t="s">
        <v>731</v>
      </c>
      <c r="C118" s="4">
        <v>45154.0</v>
      </c>
      <c r="D118" s="10" t="s">
        <v>732</v>
      </c>
      <c r="E118" s="3" t="s">
        <v>30</v>
      </c>
      <c r="F118" s="5">
        <v>5317.0</v>
      </c>
      <c r="G118" s="6">
        <v>2.0</v>
      </c>
      <c r="H118" s="7">
        <v>0.18</v>
      </c>
      <c r="I118" s="3" t="s">
        <v>65</v>
      </c>
      <c r="J118" s="3" t="s">
        <v>56</v>
      </c>
      <c r="K118" s="3" t="s">
        <v>121</v>
      </c>
      <c r="L118" s="3" t="s">
        <v>46</v>
      </c>
      <c r="M118" s="5">
        <v>8719.88</v>
      </c>
      <c r="N118" s="11">
        <f t="shared" si="1"/>
        <v>10634</v>
      </c>
    </row>
    <row r="119">
      <c r="A119" s="3" t="s">
        <v>735</v>
      </c>
      <c r="B119" s="3" t="s">
        <v>736</v>
      </c>
      <c r="C119" s="4">
        <v>45075.0</v>
      </c>
      <c r="D119" s="10" t="s">
        <v>737</v>
      </c>
      <c r="E119" s="3" t="s">
        <v>200</v>
      </c>
      <c r="F119" s="5">
        <v>2308.0</v>
      </c>
      <c r="G119" s="6">
        <v>4.0</v>
      </c>
      <c r="H119" s="7">
        <v>0.2</v>
      </c>
      <c r="I119" s="3" t="s">
        <v>55</v>
      </c>
      <c r="J119" s="3" t="s">
        <v>22</v>
      </c>
      <c r="K119" s="3" t="s">
        <v>121</v>
      </c>
      <c r="L119" s="3" t="s">
        <v>24</v>
      </c>
      <c r="M119" s="5">
        <v>7385.6</v>
      </c>
      <c r="N119" s="11">
        <f t="shared" si="1"/>
        <v>9232</v>
      </c>
    </row>
    <row r="120">
      <c r="A120" s="3" t="s">
        <v>740</v>
      </c>
      <c r="B120" s="3" t="s">
        <v>741</v>
      </c>
      <c r="C120" s="4">
        <v>45136.0</v>
      </c>
      <c r="D120" s="10" t="s">
        <v>743</v>
      </c>
      <c r="E120" s="3" t="s">
        <v>30</v>
      </c>
      <c r="F120" s="5">
        <v>1505.0</v>
      </c>
      <c r="G120" s="6">
        <v>1.0</v>
      </c>
      <c r="H120" s="7">
        <v>0.19</v>
      </c>
      <c r="I120" s="3" t="s">
        <v>65</v>
      </c>
      <c r="J120" s="3" t="s">
        <v>73</v>
      </c>
      <c r="K120" s="3" t="s">
        <v>81</v>
      </c>
      <c r="L120" s="3" t="s">
        <v>24</v>
      </c>
      <c r="M120" s="5">
        <v>1219.05</v>
      </c>
      <c r="N120" s="11">
        <f t="shared" si="1"/>
        <v>1505</v>
      </c>
    </row>
    <row r="121">
      <c r="A121" s="3" t="s">
        <v>746</v>
      </c>
      <c r="B121" s="3" t="s">
        <v>747</v>
      </c>
      <c r="C121" s="4">
        <v>44977.0</v>
      </c>
      <c r="D121" s="10" t="s">
        <v>749</v>
      </c>
      <c r="E121" s="3" t="s">
        <v>30</v>
      </c>
      <c r="F121" s="5">
        <v>8233.0</v>
      </c>
      <c r="G121" s="6">
        <v>1.0</v>
      </c>
      <c r="H121" s="7">
        <v>0.12</v>
      </c>
      <c r="I121" s="3" t="s">
        <v>21</v>
      </c>
      <c r="J121" s="3" t="s">
        <v>22</v>
      </c>
      <c r="K121" s="3" t="s">
        <v>121</v>
      </c>
      <c r="L121" s="3" t="s">
        <v>24</v>
      </c>
      <c r="M121" s="5">
        <v>7245.04</v>
      </c>
      <c r="N121" s="11">
        <f t="shared" si="1"/>
        <v>8233</v>
      </c>
    </row>
    <row r="122">
      <c r="A122" s="3" t="s">
        <v>752</v>
      </c>
      <c r="B122" s="3" t="s">
        <v>753</v>
      </c>
      <c r="C122" s="4">
        <v>45197.0</v>
      </c>
      <c r="D122" s="10" t="s">
        <v>755</v>
      </c>
      <c r="E122" s="3" t="s">
        <v>42</v>
      </c>
      <c r="F122" s="5">
        <v>824.0</v>
      </c>
      <c r="G122" s="6">
        <v>3.0</v>
      </c>
      <c r="H122" s="7">
        <v>0.11</v>
      </c>
      <c r="I122" s="3" t="s">
        <v>55</v>
      </c>
      <c r="J122" s="3" t="s">
        <v>73</v>
      </c>
      <c r="K122" s="3" t="s">
        <v>23</v>
      </c>
      <c r="L122" s="3" t="s">
        <v>36</v>
      </c>
      <c r="M122" s="5">
        <v>2200.08</v>
      </c>
      <c r="N122" s="11">
        <f t="shared" si="1"/>
        <v>2472</v>
      </c>
    </row>
    <row r="123">
      <c r="A123" s="3" t="s">
        <v>758</v>
      </c>
      <c r="B123" s="3" t="s">
        <v>759</v>
      </c>
      <c r="C123" s="4">
        <v>44968.0</v>
      </c>
      <c r="D123" s="10" t="s">
        <v>761</v>
      </c>
      <c r="E123" s="3" t="s">
        <v>52</v>
      </c>
      <c r="F123" s="5">
        <v>9873.0</v>
      </c>
      <c r="G123" s="6">
        <v>3.0</v>
      </c>
      <c r="H123" s="7">
        <v>0.2</v>
      </c>
      <c r="I123" s="3" t="s">
        <v>21</v>
      </c>
      <c r="J123" s="3" t="s">
        <v>45</v>
      </c>
      <c r="K123" s="3" t="s">
        <v>81</v>
      </c>
      <c r="L123" s="3" t="s">
        <v>46</v>
      </c>
      <c r="M123" s="5">
        <v>23695.2</v>
      </c>
      <c r="N123" s="11">
        <f t="shared" si="1"/>
        <v>29619</v>
      </c>
    </row>
    <row r="124">
      <c r="A124" s="3" t="s">
        <v>764</v>
      </c>
      <c r="B124" s="3" t="s">
        <v>765</v>
      </c>
      <c r="C124" s="4">
        <v>44985.0</v>
      </c>
      <c r="D124" s="10" t="s">
        <v>767</v>
      </c>
      <c r="E124" s="3" t="s">
        <v>52</v>
      </c>
      <c r="F124" s="5">
        <v>8064.0</v>
      </c>
      <c r="G124" s="6">
        <v>1.0</v>
      </c>
      <c r="H124" s="7">
        <v>0.07</v>
      </c>
      <c r="I124" s="3" t="s">
        <v>21</v>
      </c>
      <c r="J124" s="3" t="s">
        <v>73</v>
      </c>
      <c r="K124" s="3" t="s">
        <v>81</v>
      </c>
      <c r="L124" s="3" t="s">
        <v>24</v>
      </c>
      <c r="M124" s="5">
        <v>7499.52</v>
      </c>
      <c r="N124" s="11">
        <f t="shared" si="1"/>
        <v>8064</v>
      </c>
    </row>
    <row r="125">
      <c r="A125" s="3" t="s">
        <v>770</v>
      </c>
      <c r="B125" s="3" t="s">
        <v>771</v>
      </c>
      <c r="C125" s="4">
        <v>45120.0</v>
      </c>
      <c r="D125" s="10" t="s">
        <v>772</v>
      </c>
      <c r="E125" s="3" t="s">
        <v>17</v>
      </c>
      <c r="F125" s="5">
        <v>3754.0</v>
      </c>
      <c r="G125" s="6">
        <v>3.0</v>
      </c>
      <c r="H125" s="7">
        <v>0.18</v>
      </c>
      <c r="I125" s="3" t="s">
        <v>21</v>
      </c>
      <c r="J125" s="3" t="s">
        <v>45</v>
      </c>
      <c r="K125" s="3" t="s">
        <v>121</v>
      </c>
      <c r="L125" s="3" t="s">
        <v>36</v>
      </c>
      <c r="M125" s="5">
        <v>9234.84</v>
      </c>
      <c r="N125" s="11">
        <f t="shared" si="1"/>
        <v>11262</v>
      </c>
    </row>
    <row r="126">
      <c r="A126" s="3" t="s">
        <v>775</v>
      </c>
      <c r="B126" s="3" t="s">
        <v>776</v>
      </c>
      <c r="C126" s="4">
        <v>44963.0</v>
      </c>
      <c r="D126" s="10" t="s">
        <v>778</v>
      </c>
      <c r="E126" s="3" t="s">
        <v>200</v>
      </c>
      <c r="F126" s="5">
        <v>3674.0</v>
      </c>
      <c r="G126" s="6">
        <v>4.0</v>
      </c>
      <c r="H126" s="7">
        <v>0.16</v>
      </c>
      <c r="I126" s="3" t="s">
        <v>65</v>
      </c>
      <c r="J126" s="3" t="s">
        <v>22</v>
      </c>
      <c r="K126" s="3" t="s">
        <v>35</v>
      </c>
      <c r="L126" s="3" t="s">
        <v>24</v>
      </c>
      <c r="M126" s="5">
        <v>12344.64</v>
      </c>
      <c r="N126" s="11">
        <f t="shared" si="1"/>
        <v>14696</v>
      </c>
    </row>
    <row r="127">
      <c r="A127" s="3" t="s">
        <v>781</v>
      </c>
      <c r="B127" s="3" t="s">
        <v>782</v>
      </c>
      <c r="C127" s="4">
        <v>45193.0</v>
      </c>
      <c r="D127" s="10" t="s">
        <v>784</v>
      </c>
      <c r="E127" s="3" t="s">
        <v>200</v>
      </c>
      <c r="F127" s="5">
        <v>9128.0</v>
      </c>
      <c r="G127" s="6">
        <v>1.0</v>
      </c>
      <c r="H127" s="7">
        <v>0.16</v>
      </c>
      <c r="I127" s="3" t="s">
        <v>21</v>
      </c>
      <c r="J127" s="3" t="s">
        <v>56</v>
      </c>
      <c r="K127" s="3" t="s">
        <v>88</v>
      </c>
      <c r="L127" s="3" t="s">
        <v>24</v>
      </c>
      <c r="M127" s="5">
        <v>7667.52</v>
      </c>
      <c r="N127" s="11">
        <f t="shared" si="1"/>
        <v>9128</v>
      </c>
    </row>
    <row r="128">
      <c r="A128" s="3" t="s">
        <v>787</v>
      </c>
      <c r="B128" s="3" t="s">
        <v>788</v>
      </c>
      <c r="C128" s="4">
        <v>45013.0</v>
      </c>
      <c r="D128" s="10" t="s">
        <v>790</v>
      </c>
      <c r="E128" s="3" t="s">
        <v>17</v>
      </c>
      <c r="F128" s="5">
        <v>5959.0</v>
      </c>
      <c r="G128" s="6">
        <v>1.0</v>
      </c>
      <c r="H128" s="7">
        <v>0.17</v>
      </c>
      <c r="I128" s="3" t="s">
        <v>34</v>
      </c>
      <c r="J128" s="3" t="s">
        <v>22</v>
      </c>
      <c r="K128" s="3" t="s">
        <v>23</v>
      </c>
      <c r="L128" s="3" t="s">
        <v>36</v>
      </c>
      <c r="M128" s="5">
        <v>4945.97</v>
      </c>
      <c r="N128" s="11">
        <f t="shared" si="1"/>
        <v>5959</v>
      </c>
    </row>
    <row r="129">
      <c r="A129" s="3" t="s">
        <v>793</v>
      </c>
      <c r="B129" s="3" t="s">
        <v>794</v>
      </c>
      <c r="C129" s="4">
        <v>44970.0</v>
      </c>
      <c r="D129" s="10" t="s">
        <v>795</v>
      </c>
      <c r="E129" s="3" t="s">
        <v>200</v>
      </c>
      <c r="F129" s="5">
        <v>6350.0</v>
      </c>
      <c r="G129" s="6">
        <v>3.0</v>
      </c>
      <c r="H129" s="7">
        <v>0.06</v>
      </c>
      <c r="I129" s="3" t="s">
        <v>65</v>
      </c>
      <c r="J129" s="3" t="s">
        <v>56</v>
      </c>
      <c r="K129" s="3" t="s">
        <v>121</v>
      </c>
      <c r="L129" s="3" t="s">
        <v>36</v>
      </c>
      <c r="M129" s="5">
        <v>17907.0</v>
      </c>
      <c r="N129" s="11">
        <f t="shared" si="1"/>
        <v>19050</v>
      </c>
    </row>
    <row r="130">
      <c r="A130" s="3" t="s">
        <v>798</v>
      </c>
      <c r="B130" s="3" t="s">
        <v>799</v>
      </c>
      <c r="C130" s="4">
        <v>45287.0</v>
      </c>
      <c r="D130" s="10" t="s">
        <v>801</v>
      </c>
      <c r="E130" s="3" t="s">
        <v>200</v>
      </c>
      <c r="F130" s="5">
        <v>9448.0</v>
      </c>
      <c r="G130" s="6">
        <v>3.0</v>
      </c>
      <c r="H130" s="7">
        <v>0.08</v>
      </c>
      <c r="I130" s="3" t="s">
        <v>34</v>
      </c>
      <c r="J130" s="3" t="s">
        <v>56</v>
      </c>
      <c r="K130" s="3" t="s">
        <v>81</v>
      </c>
      <c r="L130" s="3" t="s">
        <v>46</v>
      </c>
      <c r="M130" s="5">
        <v>26076.48</v>
      </c>
      <c r="N130" s="11">
        <f t="shared" si="1"/>
        <v>28344</v>
      </c>
    </row>
    <row r="131">
      <c r="A131" s="3" t="s">
        <v>804</v>
      </c>
      <c r="B131" s="3" t="s">
        <v>805</v>
      </c>
      <c r="C131" s="4">
        <v>44938.0</v>
      </c>
      <c r="D131" s="10" t="s">
        <v>807</v>
      </c>
      <c r="E131" s="3" t="s">
        <v>52</v>
      </c>
      <c r="F131" s="5">
        <v>7310.0</v>
      </c>
      <c r="G131" s="6">
        <v>2.0</v>
      </c>
      <c r="H131" s="7">
        <v>0.1</v>
      </c>
      <c r="I131" s="3" t="s">
        <v>55</v>
      </c>
      <c r="J131" s="3" t="s">
        <v>22</v>
      </c>
      <c r="K131" s="3" t="s">
        <v>23</v>
      </c>
      <c r="L131" s="3" t="s">
        <v>46</v>
      </c>
      <c r="M131" s="5">
        <v>13158.0</v>
      </c>
      <c r="N131" s="11">
        <f t="shared" si="1"/>
        <v>14620</v>
      </c>
    </row>
    <row r="132">
      <c r="A132" s="3" t="s">
        <v>810</v>
      </c>
      <c r="B132" s="3" t="s">
        <v>811</v>
      </c>
      <c r="C132" s="4">
        <v>45185.0</v>
      </c>
      <c r="D132" s="10" t="s">
        <v>813</v>
      </c>
      <c r="E132" s="3" t="s">
        <v>17</v>
      </c>
      <c r="F132" s="5">
        <v>1001.0</v>
      </c>
      <c r="G132" s="6">
        <v>3.0</v>
      </c>
      <c r="H132" s="7">
        <v>0.14</v>
      </c>
      <c r="I132" s="3" t="s">
        <v>34</v>
      </c>
      <c r="J132" s="3" t="s">
        <v>56</v>
      </c>
      <c r="K132" s="3" t="s">
        <v>121</v>
      </c>
      <c r="L132" s="3" t="s">
        <v>36</v>
      </c>
      <c r="M132" s="5">
        <v>2582.58</v>
      </c>
      <c r="N132" s="11">
        <f t="shared" si="1"/>
        <v>3003</v>
      </c>
    </row>
    <row r="133">
      <c r="A133" s="3" t="s">
        <v>816</v>
      </c>
      <c r="B133" s="3" t="s">
        <v>817</v>
      </c>
      <c r="C133" s="4">
        <v>45234.0</v>
      </c>
      <c r="D133" s="10" t="s">
        <v>819</v>
      </c>
      <c r="E133" s="3" t="s">
        <v>17</v>
      </c>
      <c r="F133" s="5">
        <v>3388.0</v>
      </c>
      <c r="G133" s="6">
        <v>1.0</v>
      </c>
      <c r="H133" s="7">
        <v>0.07</v>
      </c>
      <c r="I133" s="3" t="s">
        <v>55</v>
      </c>
      <c r="J133" s="3" t="s">
        <v>22</v>
      </c>
      <c r="K133" s="3" t="s">
        <v>88</v>
      </c>
      <c r="L133" s="3" t="s">
        <v>36</v>
      </c>
      <c r="M133" s="5">
        <v>3150.84</v>
      </c>
      <c r="N133" s="11">
        <f t="shared" si="1"/>
        <v>3388</v>
      </c>
    </row>
    <row r="134">
      <c r="A134" s="3" t="s">
        <v>822</v>
      </c>
      <c r="B134" s="3" t="s">
        <v>823</v>
      </c>
      <c r="C134" s="4">
        <v>45007.0</v>
      </c>
      <c r="D134" s="10" t="s">
        <v>825</v>
      </c>
      <c r="E134" s="3" t="s">
        <v>200</v>
      </c>
      <c r="F134" s="5">
        <v>7762.0</v>
      </c>
      <c r="G134" s="6">
        <v>1.0</v>
      </c>
      <c r="H134" s="7">
        <v>0.13</v>
      </c>
      <c r="I134" s="3" t="s">
        <v>55</v>
      </c>
      <c r="J134" s="3" t="s">
        <v>56</v>
      </c>
      <c r="K134" s="3" t="s">
        <v>81</v>
      </c>
      <c r="L134" s="3" t="s">
        <v>36</v>
      </c>
      <c r="M134" s="5">
        <v>6752.94</v>
      </c>
      <c r="N134" s="11">
        <f t="shared" si="1"/>
        <v>7762</v>
      </c>
    </row>
    <row r="135">
      <c r="A135" s="3" t="s">
        <v>828</v>
      </c>
      <c r="B135" s="3" t="s">
        <v>829</v>
      </c>
      <c r="C135" s="4">
        <v>44959.0</v>
      </c>
      <c r="D135" s="10" t="s">
        <v>830</v>
      </c>
      <c r="E135" s="3" t="s">
        <v>42</v>
      </c>
      <c r="F135" s="5">
        <v>4961.0</v>
      </c>
      <c r="G135" s="6">
        <v>2.0</v>
      </c>
      <c r="H135" s="7">
        <v>0.17</v>
      </c>
      <c r="I135" s="3" t="s">
        <v>21</v>
      </c>
      <c r="J135" s="3" t="s">
        <v>45</v>
      </c>
      <c r="K135" s="3" t="s">
        <v>35</v>
      </c>
      <c r="L135" s="3" t="s">
        <v>46</v>
      </c>
      <c r="M135" s="5">
        <v>8235.26</v>
      </c>
      <c r="N135" s="11">
        <f t="shared" si="1"/>
        <v>9922</v>
      </c>
    </row>
    <row r="136">
      <c r="A136" s="3" t="s">
        <v>833</v>
      </c>
      <c r="B136" s="3" t="s">
        <v>834</v>
      </c>
      <c r="C136" s="4">
        <v>45109.0</v>
      </c>
      <c r="D136" s="10" t="s">
        <v>836</v>
      </c>
      <c r="E136" s="3" t="s">
        <v>200</v>
      </c>
      <c r="F136" s="5">
        <v>1662.0</v>
      </c>
      <c r="G136" s="6">
        <v>2.0</v>
      </c>
      <c r="H136" s="7">
        <v>0.17</v>
      </c>
      <c r="I136" s="3" t="s">
        <v>34</v>
      </c>
      <c r="J136" s="3" t="s">
        <v>22</v>
      </c>
      <c r="K136" s="3" t="s">
        <v>23</v>
      </c>
      <c r="L136" s="3" t="s">
        <v>36</v>
      </c>
      <c r="M136" s="5">
        <v>2758.92</v>
      </c>
      <c r="N136" s="11">
        <f t="shared" si="1"/>
        <v>3324</v>
      </c>
    </row>
    <row r="137">
      <c r="A137" s="3" t="s">
        <v>839</v>
      </c>
      <c r="B137" s="3" t="s">
        <v>840</v>
      </c>
      <c r="C137" s="4">
        <v>45055.0</v>
      </c>
      <c r="D137" s="10" t="s">
        <v>841</v>
      </c>
      <c r="E137" s="3" t="s">
        <v>52</v>
      </c>
      <c r="F137" s="5">
        <v>9822.0</v>
      </c>
      <c r="G137" s="6">
        <v>1.0</v>
      </c>
      <c r="H137" s="7">
        <v>0.14</v>
      </c>
      <c r="I137" s="3" t="s">
        <v>34</v>
      </c>
      <c r="J137" s="3" t="s">
        <v>45</v>
      </c>
      <c r="K137" s="3" t="s">
        <v>23</v>
      </c>
      <c r="L137" s="3" t="s">
        <v>36</v>
      </c>
      <c r="M137" s="5">
        <v>8446.92</v>
      </c>
      <c r="N137" s="11">
        <f t="shared" si="1"/>
        <v>9822</v>
      </c>
    </row>
    <row r="138">
      <c r="A138" s="3" t="s">
        <v>844</v>
      </c>
      <c r="B138" s="3" t="s">
        <v>845</v>
      </c>
      <c r="C138" s="4">
        <v>45221.0</v>
      </c>
      <c r="D138" s="10" t="s">
        <v>847</v>
      </c>
      <c r="E138" s="3" t="s">
        <v>52</v>
      </c>
      <c r="F138" s="5">
        <v>4399.0</v>
      </c>
      <c r="G138" s="6">
        <v>2.0</v>
      </c>
      <c r="H138" s="7">
        <v>0.1</v>
      </c>
      <c r="I138" s="3" t="s">
        <v>55</v>
      </c>
      <c r="J138" s="3" t="s">
        <v>56</v>
      </c>
      <c r="K138" s="3" t="s">
        <v>23</v>
      </c>
      <c r="L138" s="3" t="s">
        <v>24</v>
      </c>
      <c r="M138" s="5">
        <v>7918.2</v>
      </c>
      <c r="N138" s="11">
        <f t="shared" si="1"/>
        <v>8798</v>
      </c>
    </row>
    <row r="139">
      <c r="A139" s="3" t="s">
        <v>850</v>
      </c>
      <c r="B139" s="3" t="s">
        <v>851</v>
      </c>
      <c r="C139" s="4">
        <v>45202.0</v>
      </c>
      <c r="D139" s="10" t="s">
        <v>853</v>
      </c>
      <c r="E139" s="3" t="s">
        <v>30</v>
      </c>
      <c r="F139" s="5">
        <v>1690.0</v>
      </c>
      <c r="G139" s="6">
        <v>1.0</v>
      </c>
      <c r="H139" s="7">
        <v>0.18</v>
      </c>
      <c r="I139" s="3" t="s">
        <v>55</v>
      </c>
      <c r="J139" s="3" t="s">
        <v>56</v>
      </c>
      <c r="K139" s="3" t="s">
        <v>35</v>
      </c>
      <c r="L139" s="3" t="s">
        <v>46</v>
      </c>
      <c r="M139" s="5">
        <v>1385.8</v>
      </c>
      <c r="N139" s="11">
        <f t="shared" si="1"/>
        <v>1690</v>
      </c>
    </row>
    <row r="140">
      <c r="A140" s="3" t="s">
        <v>856</v>
      </c>
      <c r="B140" s="3" t="s">
        <v>857</v>
      </c>
      <c r="C140" s="4">
        <v>45101.0</v>
      </c>
      <c r="D140" s="10" t="s">
        <v>858</v>
      </c>
      <c r="E140" s="3" t="s">
        <v>52</v>
      </c>
      <c r="F140" s="5">
        <v>3217.0</v>
      </c>
      <c r="G140" s="6">
        <v>3.0</v>
      </c>
      <c r="H140" s="7">
        <v>0.2</v>
      </c>
      <c r="I140" s="3" t="s">
        <v>55</v>
      </c>
      <c r="J140" s="3" t="s">
        <v>45</v>
      </c>
      <c r="K140" s="3" t="s">
        <v>88</v>
      </c>
      <c r="L140" s="3" t="s">
        <v>46</v>
      </c>
      <c r="M140" s="5">
        <v>7720.8</v>
      </c>
      <c r="N140" s="11">
        <f t="shared" si="1"/>
        <v>9651</v>
      </c>
    </row>
    <row r="141">
      <c r="A141" s="3" t="s">
        <v>861</v>
      </c>
      <c r="B141" s="3" t="s">
        <v>862</v>
      </c>
      <c r="C141" s="4">
        <v>44969.0</v>
      </c>
      <c r="D141" s="10" t="s">
        <v>863</v>
      </c>
      <c r="E141" s="3" t="s">
        <v>200</v>
      </c>
      <c r="F141" s="5">
        <v>5240.0</v>
      </c>
      <c r="G141" s="6">
        <v>1.0</v>
      </c>
      <c r="H141" s="7">
        <v>0.1</v>
      </c>
      <c r="I141" s="3" t="s">
        <v>21</v>
      </c>
      <c r="J141" s="3" t="s">
        <v>22</v>
      </c>
      <c r="K141" s="3" t="s">
        <v>88</v>
      </c>
      <c r="L141" s="3" t="s">
        <v>24</v>
      </c>
      <c r="M141" s="5">
        <v>4716.0</v>
      </c>
      <c r="N141" s="11">
        <f t="shared" si="1"/>
        <v>5240</v>
      </c>
    </row>
    <row r="142">
      <c r="A142" s="3" t="s">
        <v>866</v>
      </c>
      <c r="B142" s="3" t="s">
        <v>867</v>
      </c>
      <c r="C142" s="4">
        <v>45111.0</v>
      </c>
      <c r="D142" s="10" t="s">
        <v>869</v>
      </c>
      <c r="E142" s="3" t="s">
        <v>42</v>
      </c>
      <c r="F142" s="5">
        <v>8890.0</v>
      </c>
      <c r="G142" s="6">
        <v>2.0</v>
      </c>
      <c r="H142" s="7">
        <v>0.14</v>
      </c>
      <c r="I142" s="3" t="s">
        <v>21</v>
      </c>
      <c r="J142" s="3" t="s">
        <v>22</v>
      </c>
      <c r="K142" s="3" t="s">
        <v>35</v>
      </c>
      <c r="L142" s="3" t="s">
        <v>46</v>
      </c>
      <c r="M142" s="5">
        <v>15290.8</v>
      </c>
      <c r="N142" s="11">
        <f t="shared" si="1"/>
        <v>17780</v>
      </c>
    </row>
    <row r="143">
      <c r="A143" s="3" t="s">
        <v>872</v>
      </c>
      <c r="B143" s="3" t="s">
        <v>873</v>
      </c>
      <c r="C143" s="4">
        <v>45004.0</v>
      </c>
      <c r="D143" s="10" t="s">
        <v>875</v>
      </c>
      <c r="E143" s="3" t="s">
        <v>200</v>
      </c>
      <c r="F143" s="5">
        <v>1246.0</v>
      </c>
      <c r="G143" s="6">
        <v>3.0</v>
      </c>
      <c r="H143" s="7">
        <v>0.05</v>
      </c>
      <c r="I143" s="3" t="s">
        <v>55</v>
      </c>
      <c r="J143" s="3" t="s">
        <v>73</v>
      </c>
      <c r="K143" s="3" t="s">
        <v>121</v>
      </c>
      <c r="L143" s="3" t="s">
        <v>36</v>
      </c>
      <c r="M143" s="5">
        <v>3551.1</v>
      </c>
      <c r="N143" s="11">
        <f t="shared" si="1"/>
        <v>3738</v>
      </c>
    </row>
    <row r="144">
      <c r="A144" s="3" t="s">
        <v>878</v>
      </c>
      <c r="B144" s="3" t="s">
        <v>879</v>
      </c>
      <c r="C144" s="4">
        <v>45213.0</v>
      </c>
      <c r="D144" s="10" t="s">
        <v>881</v>
      </c>
      <c r="E144" s="3" t="s">
        <v>200</v>
      </c>
      <c r="F144" s="5">
        <v>3215.0</v>
      </c>
      <c r="G144" s="6">
        <v>1.0</v>
      </c>
      <c r="H144" s="7">
        <v>0.05</v>
      </c>
      <c r="I144" s="3" t="s">
        <v>21</v>
      </c>
      <c r="J144" s="3" t="s">
        <v>22</v>
      </c>
      <c r="K144" s="3" t="s">
        <v>35</v>
      </c>
      <c r="L144" s="3" t="s">
        <v>24</v>
      </c>
      <c r="M144" s="5">
        <v>3054.25</v>
      </c>
      <c r="N144" s="11">
        <f t="shared" si="1"/>
        <v>3215</v>
      </c>
    </row>
    <row r="145">
      <c r="A145" s="3" t="s">
        <v>884</v>
      </c>
      <c r="B145" s="3" t="s">
        <v>885</v>
      </c>
      <c r="C145" s="4">
        <v>45207.0</v>
      </c>
      <c r="D145" s="10" t="s">
        <v>887</v>
      </c>
      <c r="E145" s="3" t="s">
        <v>17</v>
      </c>
      <c r="F145" s="5">
        <v>4097.0</v>
      </c>
      <c r="G145" s="6">
        <v>1.0</v>
      </c>
      <c r="H145" s="7">
        <v>0.13</v>
      </c>
      <c r="I145" s="3" t="s">
        <v>65</v>
      </c>
      <c r="J145" s="3" t="s">
        <v>22</v>
      </c>
      <c r="K145" s="3" t="s">
        <v>23</v>
      </c>
      <c r="L145" s="3" t="s">
        <v>46</v>
      </c>
      <c r="M145" s="5">
        <v>3564.39</v>
      </c>
      <c r="N145" s="11">
        <f t="shared" si="1"/>
        <v>4097</v>
      </c>
    </row>
    <row r="146">
      <c r="A146" s="3" t="s">
        <v>890</v>
      </c>
      <c r="B146" s="3" t="s">
        <v>891</v>
      </c>
      <c r="C146" s="4">
        <v>45052.0</v>
      </c>
      <c r="D146" s="10" t="s">
        <v>893</v>
      </c>
      <c r="E146" s="3" t="s">
        <v>200</v>
      </c>
      <c r="F146" s="5">
        <v>1150.0</v>
      </c>
      <c r="G146" s="6">
        <v>2.0</v>
      </c>
      <c r="H146" s="7">
        <v>0.16</v>
      </c>
      <c r="I146" s="3" t="s">
        <v>21</v>
      </c>
      <c r="J146" s="3" t="s">
        <v>45</v>
      </c>
      <c r="K146" s="3" t="s">
        <v>121</v>
      </c>
      <c r="L146" s="3" t="s">
        <v>46</v>
      </c>
      <c r="M146" s="5">
        <v>1932.0</v>
      </c>
      <c r="N146" s="11">
        <f t="shared" si="1"/>
        <v>2300</v>
      </c>
    </row>
    <row r="147">
      <c r="A147" s="3" t="s">
        <v>896</v>
      </c>
      <c r="B147" s="3" t="s">
        <v>897</v>
      </c>
      <c r="C147" s="4">
        <v>45185.0</v>
      </c>
      <c r="D147" s="10" t="s">
        <v>898</v>
      </c>
      <c r="E147" s="3" t="s">
        <v>52</v>
      </c>
      <c r="F147" s="5">
        <v>8624.0</v>
      </c>
      <c r="G147" s="6">
        <v>2.0</v>
      </c>
      <c r="H147" s="7">
        <v>0.17</v>
      </c>
      <c r="I147" s="3" t="s">
        <v>21</v>
      </c>
      <c r="J147" s="3" t="s">
        <v>45</v>
      </c>
      <c r="K147" s="3" t="s">
        <v>23</v>
      </c>
      <c r="L147" s="3" t="s">
        <v>46</v>
      </c>
      <c r="M147" s="5">
        <v>14315.84</v>
      </c>
      <c r="N147" s="11">
        <f t="shared" si="1"/>
        <v>17248</v>
      </c>
    </row>
    <row r="148">
      <c r="A148" s="3" t="s">
        <v>901</v>
      </c>
      <c r="B148" s="3" t="s">
        <v>902</v>
      </c>
      <c r="C148" s="4">
        <v>44930.0</v>
      </c>
      <c r="D148" s="10" t="s">
        <v>904</v>
      </c>
      <c r="E148" s="3" t="s">
        <v>30</v>
      </c>
      <c r="F148" s="5">
        <v>3020.0</v>
      </c>
      <c r="G148" s="6">
        <v>4.0</v>
      </c>
      <c r="H148" s="7">
        <v>0.06</v>
      </c>
      <c r="I148" s="3" t="s">
        <v>65</v>
      </c>
      <c r="J148" s="3" t="s">
        <v>45</v>
      </c>
      <c r="K148" s="3" t="s">
        <v>121</v>
      </c>
      <c r="L148" s="3" t="s">
        <v>46</v>
      </c>
      <c r="M148" s="5">
        <v>11355.2</v>
      </c>
      <c r="N148" s="11">
        <f t="shared" si="1"/>
        <v>12080</v>
      </c>
    </row>
    <row r="149">
      <c r="A149" s="3" t="s">
        <v>907</v>
      </c>
      <c r="B149" s="3" t="s">
        <v>908</v>
      </c>
      <c r="C149" s="4">
        <v>45021.0</v>
      </c>
      <c r="D149" s="10" t="s">
        <v>909</v>
      </c>
      <c r="E149" s="3" t="s">
        <v>17</v>
      </c>
      <c r="F149" s="5">
        <v>9074.0</v>
      </c>
      <c r="G149" s="6">
        <v>1.0</v>
      </c>
      <c r="H149" s="7">
        <v>0.11</v>
      </c>
      <c r="I149" s="3" t="s">
        <v>65</v>
      </c>
      <c r="J149" s="3" t="s">
        <v>22</v>
      </c>
      <c r="K149" s="3" t="s">
        <v>121</v>
      </c>
      <c r="L149" s="3" t="s">
        <v>24</v>
      </c>
      <c r="M149" s="5">
        <v>8075.86</v>
      </c>
      <c r="N149" s="11">
        <f t="shared" si="1"/>
        <v>9074</v>
      </c>
    </row>
    <row r="150">
      <c r="A150" s="3" t="s">
        <v>912</v>
      </c>
      <c r="B150" s="3" t="s">
        <v>913</v>
      </c>
      <c r="C150" s="4">
        <v>45153.0</v>
      </c>
      <c r="D150" s="10" t="s">
        <v>915</v>
      </c>
      <c r="E150" s="3" t="s">
        <v>17</v>
      </c>
      <c r="F150" s="5">
        <v>5144.0</v>
      </c>
      <c r="G150" s="6">
        <v>3.0</v>
      </c>
      <c r="H150" s="7">
        <v>0.18</v>
      </c>
      <c r="I150" s="3" t="s">
        <v>55</v>
      </c>
      <c r="J150" s="3" t="s">
        <v>73</v>
      </c>
      <c r="K150" s="3" t="s">
        <v>88</v>
      </c>
      <c r="L150" s="3" t="s">
        <v>36</v>
      </c>
      <c r="M150" s="5">
        <v>12654.24</v>
      </c>
      <c r="N150" s="11">
        <f t="shared" si="1"/>
        <v>15432</v>
      </c>
    </row>
    <row r="151">
      <c r="A151" s="3" t="s">
        <v>918</v>
      </c>
      <c r="B151" s="3" t="s">
        <v>919</v>
      </c>
      <c r="C151" s="4">
        <v>45290.0</v>
      </c>
      <c r="D151" s="10" t="s">
        <v>921</v>
      </c>
      <c r="E151" s="3" t="s">
        <v>200</v>
      </c>
      <c r="F151" s="5">
        <v>3322.0</v>
      </c>
      <c r="G151" s="6">
        <v>2.0</v>
      </c>
      <c r="H151" s="7">
        <v>0.13</v>
      </c>
      <c r="I151" s="3" t="s">
        <v>34</v>
      </c>
      <c r="J151" s="3" t="s">
        <v>56</v>
      </c>
      <c r="K151" s="3" t="s">
        <v>81</v>
      </c>
      <c r="L151" s="3" t="s">
        <v>24</v>
      </c>
      <c r="M151" s="5">
        <v>5780.28</v>
      </c>
      <c r="N151" s="11">
        <f t="shared" si="1"/>
        <v>6644</v>
      </c>
    </row>
    <row r="152">
      <c r="A152" s="3" t="s">
        <v>924</v>
      </c>
      <c r="B152" s="3" t="s">
        <v>925</v>
      </c>
      <c r="C152" s="4">
        <v>45196.0</v>
      </c>
      <c r="D152" s="10" t="s">
        <v>927</v>
      </c>
      <c r="E152" s="3" t="s">
        <v>30</v>
      </c>
      <c r="F152" s="5">
        <v>6738.0</v>
      </c>
      <c r="G152" s="6">
        <v>3.0</v>
      </c>
      <c r="H152" s="7">
        <v>0.1</v>
      </c>
      <c r="I152" s="3" t="s">
        <v>55</v>
      </c>
      <c r="J152" s="3" t="s">
        <v>73</v>
      </c>
      <c r="K152" s="3" t="s">
        <v>35</v>
      </c>
      <c r="L152" s="3" t="s">
        <v>46</v>
      </c>
      <c r="M152" s="5">
        <v>18192.6</v>
      </c>
      <c r="N152" s="11">
        <f t="shared" si="1"/>
        <v>20214</v>
      </c>
    </row>
    <row r="153">
      <c r="A153" s="3" t="s">
        <v>930</v>
      </c>
      <c r="B153" s="3" t="s">
        <v>931</v>
      </c>
      <c r="C153" s="4">
        <v>45223.0</v>
      </c>
      <c r="D153" s="10" t="s">
        <v>933</v>
      </c>
      <c r="E153" s="3" t="s">
        <v>17</v>
      </c>
      <c r="F153" s="5">
        <v>1139.0</v>
      </c>
      <c r="G153" s="6">
        <v>4.0</v>
      </c>
      <c r="H153" s="7">
        <v>0.19</v>
      </c>
      <c r="I153" s="3" t="s">
        <v>55</v>
      </c>
      <c r="J153" s="3" t="s">
        <v>22</v>
      </c>
      <c r="K153" s="3" t="s">
        <v>23</v>
      </c>
      <c r="L153" s="3" t="s">
        <v>46</v>
      </c>
      <c r="M153" s="5">
        <v>3690.36</v>
      </c>
      <c r="N153" s="11">
        <f t="shared" si="1"/>
        <v>4556</v>
      </c>
    </row>
    <row r="154">
      <c r="A154" s="3" t="s">
        <v>936</v>
      </c>
      <c r="B154" s="3" t="s">
        <v>937</v>
      </c>
      <c r="C154" s="4">
        <v>45255.0</v>
      </c>
      <c r="D154" s="10" t="s">
        <v>939</v>
      </c>
      <c r="E154" s="3" t="s">
        <v>200</v>
      </c>
      <c r="F154" s="5">
        <v>3896.0</v>
      </c>
      <c r="G154" s="6">
        <v>2.0</v>
      </c>
      <c r="H154" s="7">
        <v>0.08</v>
      </c>
      <c r="I154" s="3" t="s">
        <v>65</v>
      </c>
      <c r="J154" s="3" t="s">
        <v>22</v>
      </c>
      <c r="K154" s="3" t="s">
        <v>23</v>
      </c>
      <c r="L154" s="3" t="s">
        <v>46</v>
      </c>
      <c r="M154" s="5">
        <v>7168.64</v>
      </c>
      <c r="N154" s="11">
        <f t="shared" si="1"/>
        <v>7792</v>
      </c>
    </row>
    <row r="155">
      <c r="A155" s="3" t="s">
        <v>942</v>
      </c>
      <c r="B155" s="3" t="s">
        <v>943</v>
      </c>
      <c r="C155" s="4">
        <v>44946.0</v>
      </c>
      <c r="D155" s="10" t="s">
        <v>945</v>
      </c>
      <c r="E155" s="3" t="s">
        <v>30</v>
      </c>
      <c r="F155" s="5">
        <v>254.0</v>
      </c>
      <c r="G155" s="6">
        <v>3.0</v>
      </c>
      <c r="H155" s="7">
        <v>0.2</v>
      </c>
      <c r="I155" s="3" t="s">
        <v>21</v>
      </c>
      <c r="J155" s="3" t="s">
        <v>56</v>
      </c>
      <c r="K155" s="3" t="s">
        <v>88</v>
      </c>
      <c r="L155" s="3" t="s">
        <v>46</v>
      </c>
      <c r="M155" s="5">
        <v>609.6</v>
      </c>
      <c r="N155" s="11">
        <f t="shared" si="1"/>
        <v>762</v>
      </c>
    </row>
    <row r="156">
      <c r="A156" s="3" t="s">
        <v>948</v>
      </c>
      <c r="B156" s="3" t="s">
        <v>949</v>
      </c>
      <c r="C156" s="4">
        <v>45022.0</v>
      </c>
      <c r="D156" s="10" t="s">
        <v>950</v>
      </c>
      <c r="E156" s="3" t="s">
        <v>17</v>
      </c>
      <c r="F156" s="5">
        <v>6715.0</v>
      </c>
      <c r="G156" s="6">
        <v>1.0</v>
      </c>
      <c r="H156" s="7">
        <v>0.18</v>
      </c>
      <c r="I156" s="3" t="s">
        <v>34</v>
      </c>
      <c r="J156" s="3" t="s">
        <v>45</v>
      </c>
      <c r="K156" s="3" t="s">
        <v>23</v>
      </c>
      <c r="L156" s="3" t="s">
        <v>46</v>
      </c>
      <c r="M156" s="5">
        <v>5506.3</v>
      </c>
      <c r="N156" s="11">
        <f t="shared" si="1"/>
        <v>6715</v>
      </c>
    </row>
    <row r="157">
      <c r="A157" s="3" t="s">
        <v>953</v>
      </c>
      <c r="B157" s="3" t="s">
        <v>954</v>
      </c>
      <c r="C157" s="4">
        <v>45255.0</v>
      </c>
      <c r="D157" s="10" t="s">
        <v>955</v>
      </c>
      <c r="E157" s="3" t="s">
        <v>52</v>
      </c>
      <c r="F157" s="5">
        <v>3144.0</v>
      </c>
      <c r="G157" s="6">
        <v>3.0</v>
      </c>
      <c r="H157" s="7">
        <v>0.07</v>
      </c>
      <c r="I157" s="3" t="s">
        <v>21</v>
      </c>
      <c r="J157" s="3" t="s">
        <v>73</v>
      </c>
      <c r="K157" s="3" t="s">
        <v>88</v>
      </c>
      <c r="L157" s="3" t="s">
        <v>24</v>
      </c>
      <c r="M157" s="5">
        <v>8771.76</v>
      </c>
      <c r="N157" s="11">
        <f t="shared" si="1"/>
        <v>9432</v>
      </c>
    </row>
    <row r="158">
      <c r="A158" s="3" t="s">
        <v>958</v>
      </c>
      <c r="B158" s="3" t="s">
        <v>959</v>
      </c>
      <c r="C158" s="4">
        <v>45175.0</v>
      </c>
      <c r="D158" s="10" t="s">
        <v>961</v>
      </c>
      <c r="E158" s="3" t="s">
        <v>52</v>
      </c>
      <c r="F158" s="5">
        <v>9047.0</v>
      </c>
      <c r="G158" s="6">
        <v>1.0</v>
      </c>
      <c r="H158" s="7">
        <v>0.13</v>
      </c>
      <c r="I158" s="3" t="s">
        <v>55</v>
      </c>
      <c r="J158" s="3" t="s">
        <v>73</v>
      </c>
      <c r="K158" s="3" t="s">
        <v>121</v>
      </c>
      <c r="L158" s="3" t="s">
        <v>24</v>
      </c>
      <c r="M158" s="5">
        <v>7870.89</v>
      </c>
      <c r="N158" s="11">
        <f t="shared" si="1"/>
        <v>9047</v>
      </c>
    </row>
    <row r="159">
      <c r="A159" s="3" t="s">
        <v>964</v>
      </c>
      <c r="B159" s="3" t="s">
        <v>965</v>
      </c>
      <c r="C159" s="4">
        <v>45107.0</v>
      </c>
      <c r="D159" s="10" t="s">
        <v>966</v>
      </c>
      <c r="E159" s="3" t="s">
        <v>42</v>
      </c>
      <c r="F159" s="5">
        <v>765.0</v>
      </c>
      <c r="G159" s="6">
        <v>3.0</v>
      </c>
      <c r="H159" s="7">
        <v>0.11</v>
      </c>
      <c r="I159" s="3" t="s">
        <v>65</v>
      </c>
      <c r="J159" s="3" t="s">
        <v>56</v>
      </c>
      <c r="K159" s="3" t="s">
        <v>23</v>
      </c>
      <c r="L159" s="3" t="s">
        <v>24</v>
      </c>
      <c r="M159" s="5">
        <v>2042.55</v>
      </c>
      <c r="N159" s="11">
        <f t="shared" si="1"/>
        <v>2295</v>
      </c>
    </row>
    <row r="160">
      <c r="A160" s="3" t="s">
        <v>969</v>
      </c>
      <c r="B160" s="3" t="s">
        <v>970</v>
      </c>
      <c r="C160" s="4">
        <v>45250.0</v>
      </c>
      <c r="D160" s="10" t="s">
        <v>971</v>
      </c>
      <c r="E160" s="3" t="s">
        <v>42</v>
      </c>
      <c r="F160" s="5">
        <v>1923.0</v>
      </c>
      <c r="G160" s="6">
        <v>1.0</v>
      </c>
      <c r="H160" s="7">
        <v>0.05</v>
      </c>
      <c r="I160" s="3" t="s">
        <v>21</v>
      </c>
      <c r="J160" s="3" t="s">
        <v>73</v>
      </c>
      <c r="K160" s="3" t="s">
        <v>88</v>
      </c>
      <c r="L160" s="3" t="s">
        <v>46</v>
      </c>
      <c r="M160" s="5">
        <v>1826.85</v>
      </c>
      <c r="N160" s="11">
        <f t="shared" si="1"/>
        <v>1923</v>
      </c>
    </row>
    <row r="161">
      <c r="A161" s="3" t="s">
        <v>974</v>
      </c>
      <c r="B161" s="3" t="s">
        <v>975</v>
      </c>
      <c r="C161" s="4">
        <v>45244.0</v>
      </c>
      <c r="D161" s="10" t="s">
        <v>977</v>
      </c>
      <c r="E161" s="3" t="s">
        <v>200</v>
      </c>
      <c r="F161" s="5">
        <v>1616.0</v>
      </c>
      <c r="G161" s="6">
        <v>1.0</v>
      </c>
      <c r="H161" s="7">
        <v>0.13</v>
      </c>
      <c r="I161" s="3" t="s">
        <v>34</v>
      </c>
      <c r="J161" s="3" t="s">
        <v>73</v>
      </c>
      <c r="K161" s="3" t="s">
        <v>23</v>
      </c>
      <c r="L161" s="3" t="s">
        <v>24</v>
      </c>
      <c r="M161" s="5">
        <v>1405.92</v>
      </c>
      <c r="N161" s="11">
        <f t="shared" si="1"/>
        <v>1616</v>
      </c>
    </row>
    <row r="162">
      <c r="A162" s="3" t="s">
        <v>980</v>
      </c>
      <c r="B162" s="3" t="s">
        <v>981</v>
      </c>
      <c r="C162" s="4">
        <v>45197.0</v>
      </c>
      <c r="D162" s="10" t="s">
        <v>982</v>
      </c>
      <c r="E162" s="3" t="s">
        <v>42</v>
      </c>
      <c r="F162" s="5">
        <v>7748.0</v>
      </c>
      <c r="G162" s="6">
        <v>3.0</v>
      </c>
      <c r="H162" s="7">
        <v>0.1</v>
      </c>
      <c r="I162" s="3" t="s">
        <v>34</v>
      </c>
      <c r="J162" s="3" t="s">
        <v>56</v>
      </c>
      <c r="K162" s="3" t="s">
        <v>35</v>
      </c>
      <c r="L162" s="3" t="s">
        <v>46</v>
      </c>
      <c r="M162" s="5">
        <v>20919.6</v>
      </c>
      <c r="N162" s="11">
        <f t="shared" si="1"/>
        <v>23244</v>
      </c>
    </row>
    <row r="163">
      <c r="A163" s="3" t="s">
        <v>985</v>
      </c>
      <c r="B163" s="3" t="s">
        <v>986</v>
      </c>
      <c r="C163" s="4">
        <v>45279.0</v>
      </c>
      <c r="D163" s="10" t="s">
        <v>988</v>
      </c>
      <c r="E163" s="3" t="s">
        <v>42</v>
      </c>
      <c r="F163" s="5">
        <v>6037.0</v>
      </c>
      <c r="G163" s="6">
        <v>2.0</v>
      </c>
      <c r="H163" s="7">
        <v>0.1</v>
      </c>
      <c r="I163" s="3" t="s">
        <v>55</v>
      </c>
      <c r="J163" s="3" t="s">
        <v>22</v>
      </c>
      <c r="K163" s="3" t="s">
        <v>23</v>
      </c>
      <c r="L163" s="3" t="s">
        <v>46</v>
      </c>
      <c r="M163" s="5">
        <v>10866.6</v>
      </c>
      <c r="N163" s="11">
        <f t="shared" si="1"/>
        <v>12074</v>
      </c>
    </row>
    <row r="164">
      <c r="A164" s="3" t="s">
        <v>991</v>
      </c>
      <c r="B164" s="3" t="s">
        <v>992</v>
      </c>
      <c r="C164" s="4">
        <v>45187.0</v>
      </c>
      <c r="D164" s="10" t="s">
        <v>994</v>
      </c>
      <c r="E164" s="3" t="s">
        <v>42</v>
      </c>
      <c r="F164" s="5">
        <v>4975.0</v>
      </c>
      <c r="G164" s="6">
        <v>1.0</v>
      </c>
      <c r="H164" s="7">
        <v>0.09</v>
      </c>
      <c r="I164" s="3" t="s">
        <v>21</v>
      </c>
      <c r="J164" s="3" t="s">
        <v>56</v>
      </c>
      <c r="K164" s="3" t="s">
        <v>23</v>
      </c>
      <c r="L164" s="3" t="s">
        <v>46</v>
      </c>
      <c r="M164" s="5">
        <v>4527.25</v>
      </c>
      <c r="N164" s="11">
        <f t="shared" si="1"/>
        <v>4975</v>
      </c>
    </row>
    <row r="165">
      <c r="A165" s="3" t="s">
        <v>997</v>
      </c>
      <c r="B165" s="3" t="s">
        <v>998</v>
      </c>
      <c r="C165" s="4">
        <v>45164.0</v>
      </c>
      <c r="D165" s="10" t="s">
        <v>1000</v>
      </c>
      <c r="E165" s="3" t="s">
        <v>42</v>
      </c>
      <c r="F165" s="5">
        <v>2357.0</v>
      </c>
      <c r="G165" s="6">
        <v>4.0</v>
      </c>
      <c r="H165" s="7">
        <v>0.18</v>
      </c>
      <c r="I165" s="3" t="s">
        <v>21</v>
      </c>
      <c r="J165" s="3" t="s">
        <v>22</v>
      </c>
      <c r="K165" s="3" t="s">
        <v>121</v>
      </c>
      <c r="L165" s="3" t="s">
        <v>24</v>
      </c>
      <c r="M165" s="5">
        <v>7730.96</v>
      </c>
      <c r="N165" s="11">
        <f t="shared" si="1"/>
        <v>9428</v>
      </c>
    </row>
    <row r="166">
      <c r="A166" s="3" t="s">
        <v>1003</v>
      </c>
      <c r="B166" s="3" t="s">
        <v>1004</v>
      </c>
      <c r="C166" s="4">
        <v>45066.0</v>
      </c>
      <c r="D166" s="10" t="s">
        <v>1006</v>
      </c>
      <c r="E166" s="3" t="s">
        <v>52</v>
      </c>
      <c r="F166" s="5">
        <v>322.0</v>
      </c>
      <c r="G166" s="6">
        <v>3.0</v>
      </c>
      <c r="H166" s="7">
        <v>0.11</v>
      </c>
      <c r="I166" s="3" t="s">
        <v>21</v>
      </c>
      <c r="J166" s="3" t="s">
        <v>73</v>
      </c>
      <c r="K166" s="3" t="s">
        <v>81</v>
      </c>
      <c r="L166" s="3" t="s">
        <v>46</v>
      </c>
      <c r="M166" s="5">
        <v>859.74</v>
      </c>
      <c r="N166" s="11">
        <f t="shared" si="1"/>
        <v>966</v>
      </c>
    </row>
    <row r="167">
      <c r="A167" s="3" t="s">
        <v>1009</v>
      </c>
      <c r="B167" s="3" t="s">
        <v>1010</v>
      </c>
      <c r="C167" s="4">
        <v>45013.0</v>
      </c>
      <c r="D167" s="10" t="s">
        <v>1011</v>
      </c>
      <c r="E167" s="3" t="s">
        <v>52</v>
      </c>
      <c r="F167" s="5">
        <v>1172.0</v>
      </c>
      <c r="G167" s="6">
        <v>4.0</v>
      </c>
      <c r="H167" s="7">
        <v>0.16</v>
      </c>
      <c r="I167" s="3" t="s">
        <v>34</v>
      </c>
      <c r="J167" s="3" t="s">
        <v>73</v>
      </c>
      <c r="K167" s="3" t="s">
        <v>121</v>
      </c>
      <c r="L167" s="3" t="s">
        <v>36</v>
      </c>
      <c r="M167" s="5">
        <v>3937.92</v>
      </c>
      <c r="N167" s="11">
        <f t="shared" si="1"/>
        <v>4688</v>
      </c>
    </row>
    <row r="168">
      <c r="A168" s="3" t="s">
        <v>1014</v>
      </c>
      <c r="B168" s="3" t="s">
        <v>1015</v>
      </c>
      <c r="C168" s="4">
        <v>45036.0</v>
      </c>
      <c r="D168" s="10" t="s">
        <v>1017</v>
      </c>
      <c r="E168" s="3" t="s">
        <v>17</v>
      </c>
      <c r="F168" s="5">
        <v>1921.0</v>
      </c>
      <c r="G168" s="6">
        <v>1.0</v>
      </c>
      <c r="H168" s="7">
        <v>0.15</v>
      </c>
      <c r="I168" s="3" t="s">
        <v>55</v>
      </c>
      <c r="J168" s="3" t="s">
        <v>22</v>
      </c>
      <c r="K168" s="3" t="s">
        <v>88</v>
      </c>
      <c r="L168" s="3" t="s">
        <v>24</v>
      </c>
      <c r="M168" s="5">
        <v>1632.85</v>
      </c>
      <c r="N168" s="11">
        <f t="shared" si="1"/>
        <v>1921</v>
      </c>
    </row>
    <row r="169">
      <c r="A169" s="3" t="s">
        <v>1020</v>
      </c>
      <c r="B169" s="3" t="s">
        <v>1021</v>
      </c>
      <c r="C169" s="4">
        <v>45258.0</v>
      </c>
      <c r="D169" s="10" t="s">
        <v>1023</v>
      </c>
      <c r="E169" s="3" t="s">
        <v>52</v>
      </c>
      <c r="F169" s="5">
        <v>2075.0</v>
      </c>
      <c r="G169" s="6">
        <v>1.0</v>
      </c>
      <c r="H169" s="7">
        <v>0.08</v>
      </c>
      <c r="I169" s="3" t="s">
        <v>34</v>
      </c>
      <c r="J169" s="3" t="s">
        <v>56</v>
      </c>
      <c r="K169" s="3" t="s">
        <v>23</v>
      </c>
      <c r="L169" s="3" t="s">
        <v>24</v>
      </c>
      <c r="M169" s="5">
        <v>1909.0</v>
      </c>
      <c r="N169" s="11">
        <f t="shared" si="1"/>
        <v>2075</v>
      </c>
    </row>
    <row r="170">
      <c r="A170" s="3" t="s">
        <v>1026</v>
      </c>
      <c r="B170" s="3" t="s">
        <v>1027</v>
      </c>
      <c r="C170" s="4">
        <v>45111.0</v>
      </c>
      <c r="D170" s="10" t="s">
        <v>1028</v>
      </c>
      <c r="E170" s="3" t="s">
        <v>42</v>
      </c>
      <c r="F170" s="5">
        <v>8959.0</v>
      </c>
      <c r="G170" s="6">
        <v>3.0</v>
      </c>
      <c r="H170" s="7">
        <v>0.06</v>
      </c>
      <c r="I170" s="3" t="s">
        <v>55</v>
      </c>
      <c r="J170" s="3" t="s">
        <v>73</v>
      </c>
      <c r="K170" s="3" t="s">
        <v>81</v>
      </c>
      <c r="L170" s="3" t="s">
        <v>46</v>
      </c>
      <c r="M170" s="5">
        <v>25264.38</v>
      </c>
      <c r="N170" s="11">
        <f t="shared" si="1"/>
        <v>26877</v>
      </c>
    </row>
    <row r="171">
      <c r="A171" s="3" t="s">
        <v>1031</v>
      </c>
      <c r="B171" s="3" t="s">
        <v>1032</v>
      </c>
      <c r="C171" s="4">
        <v>44943.0</v>
      </c>
      <c r="D171" s="10" t="s">
        <v>1034</v>
      </c>
      <c r="E171" s="3" t="s">
        <v>200</v>
      </c>
      <c r="F171" s="5">
        <v>6046.0</v>
      </c>
      <c r="G171" s="6">
        <v>4.0</v>
      </c>
      <c r="H171" s="7">
        <v>0.11</v>
      </c>
      <c r="I171" s="3" t="s">
        <v>21</v>
      </c>
      <c r="J171" s="3" t="s">
        <v>73</v>
      </c>
      <c r="K171" s="3" t="s">
        <v>35</v>
      </c>
      <c r="L171" s="3" t="s">
        <v>36</v>
      </c>
      <c r="M171" s="5">
        <v>21523.76</v>
      </c>
      <c r="N171" s="11">
        <f t="shared" si="1"/>
        <v>24184</v>
      </c>
    </row>
    <row r="172">
      <c r="A172" s="3" t="s">
        <v>1037</v>
      </c>
      <c r="B172" s="3" t="s">
        <v>1038</v>
      </c>
      <c r="C172" s="4">
        <v>45079.0</v>
      </c>
      <c r="D172" s="10" t="s">
        <v>1040</v>
      </c>
      <c r="E172" s="3" t="s">
        <v>30</v>
      </c>
      <c r="F172" s="5">
        <v>5482.0</v>
      </c>
      <c r="G172" s="6">
        <v>1.0</v>
      </c>
      <c r="H172" s="7">
        <v>0.17</v>
      </c>
      <c r="I172" s="3" t="s">
        <v>55</v>
      </c>
      <c r="J172" s="3" t="s">
        <v>56</v>
      </c>
      <c r="K172" s="3" t="s">
        <v>81</v>
      </c>
      <c r="L172" s="3" t="s">
        <v>36</v>
      </c>
      <c r="M172" s="5">
        <v>4550.06</v>
      </c>
      <c r="N172" s="11">
        <f t="shared" si="1"/>
        <v>5482</v>
      </c>
    </row>
    <row r="173">
      <c r="A173" s="3" t="s">
        <v>1043</v>
      </c>
      <c r="B173" s="3" t="s">
        <v>1044</v>
      </c>
      <c r="C173" s="4">
        <v>45076.0</v>
      </c>
      <c r="D173" s="10" t="s">
        <v>1046</v>
      </c>
      <c r="E173" s="3" t="s">
        <v>52</v>
      </c>
      <c r="F173" s="5">
        <v>6669.0</v>
      </c>
      <c r="G173" s="6">
        <v>4.0</v>
      </c>
      <c r="H173" s="7">
        <v>0.12</v>
      </c>
      <c r="I173" s="3" t="s">
        <v>34</v>
      </c>
      <c r="J173" s="3" t="s">
        <v>73</v>
      </c>
      <c r="K173" s="3" t="s">
        <v>35</v>
      </c>
      <c r="L173" s="3" t="s">
        <v>24</v>
      </c>
      <c r="M173" s="5">
        <v>23474.88</v>
      </c>
      <c r="N173" s="11">
        <f t="shared" si="1"/>
        <v>26676</v>
      </c>
    </row>
    <row r="174">
      <c r="A174" s="3" t="s">
        <v>1049</v>
      </c>
      <c r="B174" s="3" t="s">
        <v>1050</v>
      </c>
      <c r="C174" s="4">
        <v>45037.0</v>
      </c>
      <c r="D174" s="10" t="s">
        <v>1052</v>
      </c>
      <c r="E174" s="3" t="s">
        <v>200</v>
      </c>
      <c r="F174" s="5">
        <v>4552.0</v>
      </c>
      <c r="G174" s="6">
        <v>2.0</v>
      </c>
      <c r="H174" s="7">
        <v>0.2</v>
      </c>
      <c r="I174" s="3" t="s">
        <v>34</v>
      </c>
      <c r="J174" s="3" t="s">
        <v>22</v>
      </c>
      <c r="K174" s="3" t="s">
        <v>121</v>
      </c>
      <c r="L174" s="3" t="s">
        <v>24</v>
      </c>
      <c r="M174" s="5">
        <v>7283.2</v>
      </c>
      <c r="N174" s="11">
        <f t="shared" si="1"/>
        <v>9104</v>
      </c>
    </row>
    <row r="175">
      <c r="A175" s="3" t="s">
        <v>1055</v>
      </c>
      <c r="B175" s="3" t="s">
        <v>1056</v>
      </c>
      <c r="C175" s="4">
        <v>44952.0</v>
      </c>
      <c r="D175" s="10" t="s">
        <v>1057</v>
      </c>
      <c r="E175" s="3" t="s">
        <v>52</v>
      </c>
      <c r="F175" s="5">
        <v>1007.0</v>
      </c>
      <c r="G175" s="6">
        <v>3.0</v>
      </c>
      <c r="H175" s="7">
        <v>0.11</v>
      </c>
      <c r="I175" s="3" t="s">
        <v>21</v>
      </c>
      <c r="J175" s="3" t="s">
        <v>73</v>
      </c>
      <c r="K175" s="3" t="s">
        <v>81</v>
      </c>
      <c r="L175" s="3" t="s">
        <v>24</v>
      </c>
      <c r="M175" s="5">
        <v>2688.69</v>
      </c>
      <c r="N175" s="11">
        <f t="shared" si="1"/>
        <v>3021</v>
      </c>
    </row>
    <row r="176">
      <c r="A176" s="3" t="s">
        <v>1060</v>
      </c>
      <c r="B176" s="3" t="s">
        <v>1061</v>
      </c>
      <c r="C176" s="4">
        <v>45044.0</v>
      </c>
      <c r="D176" s="10" t="s">
        <v>1062</v>
      </c>
      <c r="E176" s="3" t="s">
        <v>52</v>
      </c>
      <c r="F176" s="5">
        <v>5963.0</v>
      </c>
      <c r="G176" s="6">
        <v>1.0</v>
      </c>
      <c r="H176" s="7">
        <v>0.15</v>
      </c>
      <c r="I176" s="3" t="s">
        <v>21</v>
      </c>
      <c r="J176" s="3" t="s">
        <v>73</v>
      </c>
      <c r="K176" s="3" t="s">
        <v>88</v>
      </c>
      <c r="L176" s="3" t="s">
        <v>46</v>
      </c>
      <c r="M176" s="5">
        <v>5068.55</v>
      </c>
      <c r="N176" s="11">
        <f t="shared" si="1"/>
        <v>5963</v>
      </c>
    </row>
    <row r="177">
      <c r="A177" s="3" t="s">
        <v>1065</v>
      </c>
      <c r="B177" s="3" t="s">
        <v>1066</v>
      </c>
      <c r="C177" s="4">
        <v>45010.0</v>
      </c>
      <c r="D177" s="10" t="s">
        <v>1068</v>
      </c>
      <c r="E177" s="3" t="s">
        <v>17</v>
      </c>
      <c r="F177" s="5">
        <v>5525.0</v>
      </c>
      <c r="G177" s="6">
        <v>3.0</v>
      </c>
      <c r="H177" s="7">
        <v>0.1</v>
      </c>
      <c r="I177" s="3" t="s">
        <v>55</v>
      </c>
      <c r="J177" s="3" t="s">
        <v>73</v>
      </c>
      <c r="K177" s="3" t="s">
        <v>88</v>
      </c>
      <c r="L177" s="3" t="s">
        <v>36</v>
      </c>
      <c r="M177" s="5">
        <v>14917.5</v>
      </c>
      <c r="N177" s="11">
        <f t="shared" si="1"/>
        <v>16575</v>
      </c>
    </row>
    <row r="178">
      <c r="A178" s="3" t="s">
        <v>1071</v>
      </c>
      <c r="B178" s="3" t="s">
        <v>1072</v>
      </c>
      <c r="C178" s="4">
        <v>45088.0</v>
      </c>
      <c r="D178" s="10" t="s">
        <v>1074</v>
      </c>
      <c r="E178" s="3" t="s">
        <v>52</v>
      </c>
      <c r="F178" s="5">
        <v>7815.0</v>
      </c>
      <c r="G178" s="6">
        <v>4.0</v>
      </c>
      <c r="H178" s="7">
        <v>0.09</v>
      </c>
      <c r="I178" s="3" t="s">
        <v>21</v>
      </c>
      <c r="J178" s="3" t="s">
        <v>22</v>
      </c>
      <c r="K178" s="3" t="s">
        <v>81</v>
      </c>
      <c r="L178" s="3" t="s">
        <v>24</v>
      </c>
      <c r="M178" s="5">
        <v>28446.6</v>
      </c>
      <c r="N178" s="11">
        <f t="shared" si="1"/>
        <v>31260</v>
      </c>
    </row>
    <row r="179">
      <c r="A179" s="3" t="s">
        <v>1077</v>
      </c>
      <c r="B179" s="3" t="s">
        <v>1078</v>
      </c>
      <c r="C179" s="4">
        <v>45287.0</v>
      </c>
      <c r="D179" s="10" t="s">
        <v>1079</v>
      </c>
      <c r="E179" s="3" t="s">
        <v>52</v>
      </c>
      <c r="F179" s="5">
        <v>5205.0</v>
      </c>
      <c r="G179" s="6">
        <v>3.0</v>
      </c>
      <c r="H179" s="7">
        <v>0.12</v>
      </c>
      <c r="I179" s="3" t="s">
        <v>34</v>
      </c>
      <c r="J179" s="3" t="s">
        <v>45</v>
      </c>
      <c r="K179" s="3" t="s">
        <v>81</v>
      </c>
      <c r="L179" s="3" t="s">
        <v>36</v>
      </c>
      <c r="M179" s="5">
        <v>13741.2</v>
      </c>
      <c r="N179" s="11">
        <f t="shared" si="1"/>
        <v>15615</v>
      </c>
    </row>
    <row r="180">
      <c r="A180" s="3" t="s">
        <v>1082</v>
      </c>
      <c r="B180" s="3" t="s">
        <v>1083</v>
      </c>
      <c r="C180" s="4">
        <v>45155.0</v>
      </c>
      <c r="D180" s="10" t="s">
        <v>1085</v>
      </c>
      <c r="E180" s="3" t="s">
        <v>52</v>
      </c>
      <c r="F180" s="5">
        <v>8503.0</v>
      </c>
      <c r="G180" s="6">
        <v>4.0</v>
      </c>
      <c r="H180" s="7">
        <v>0.12</v>
      </c>
      <c r="I180" s="3" t="s">
        <v>34</v>
      </c>
      <c r="J180" s="3" t="s">
        <v>45</v>
      </c>
      <c r="K180" s="3" t="s">
        <v>88</v>
      </c>
      <c r="L180" s="3" t="s">
        <v>24</v>
      </c>
      <c r="M180" s="5">
        <v>29930.56</v>
      </c>
      <c r="N180" s="11">
        <f t="shared" si="1"/>
        <v>34012</v>
      </c>
    </row>
    <row r="181">
      <c r="A181" s="3" t="s">
        <v>1088</v>
      </c>
      <c r="B181" s="3" t="s">
        <v>1089</v>
      </c>
      <c r="C181" s="4">
        <v>45178.0</v>
      </c>
      <c r="D181" s="10" t="s">
        <v>1090</v>
      </c>
      <c r="E181" s="3" t="s">
        <v>17</v>
      </c>
      <c r="F181" s="5">
        <v>7166.0</v>
      </c>
      <c r="G181" s="6">
        <v>4.0</v>
      </c>
      <c r="H181" s="7">
        <v>0.12</v>
      </c>
      <c r="I181" s="3" t="s">
        <v>55</v>
      </c>
      <c r="J181" s="3" t="s">
        <v>22</v>
      </c>
      <c r="K181" s="3" t="s">
        <v>35</v>
      </c>
      <c r="L181" s="3" t="s">
        <v>46</v>
      </c>
      <c r="M181" s="5">
        <v>25224.32</v>
      </c>
      <c r="N181" s="11">
        <f t="shared" si="1"/>
        <v>28664</v>
      </c>
    </row>
    <row r="182">
      <c r="A182" s="3" t="s">
        <v>1093</v>
      </c>
      <c r="B182" s="3" t="s">
        <v>1094</v>
      </c>
      <c r="C182" s="4">
        <v>45048.0</v>
      </c>
      <c r="D182" s="10" t="s">
        <v>1095</v>
      </c>
      <c r="E182" s="3" t="s">
        <v>30</v>
      </c>
      <c r="F182" s="5">
        <v>7201.0</v>
      </c>
      <c r="G182" s="6">
        <v>2.0</v>
      </c>
      <c r="H182" s="7">
        <v>0.19</v>
      </c>
      <c r="I182" s="3" t="s">
        <v>55</v>
      </c>
      <c r="J182" s="3" t="s">
        <v>22</v>
      </c>
      <c r="K182" s="3" t="s">
        <v>88</v>
      </c>
      <c r="L182" s="3" t="s">
        <v>24</v>
      </c>
      <c r="M182" s="5">
        <v>11665.62</v>
      </c>
      <c r="N182" s="11">
        <f t="shared" si="1"/>
        <v>14402</v>
      </c>
    </row>
    <row r="183">
      <c r="A183" s="3" t="s">
        <v>1098</v>
      </c>
      <c r="B183" s="3" t="s">
        <v>1099</v>
      </c>
      <c r="C183" s="4">
        <v>45253.0</v>
      </c>
      <c r="D183" s="10" t="s">
        <v>1101</v>
      </c>
      <c r="E183" s="3" t="s">
        <v>30</v>
      </c>
      <c r="F183" s="5">
        <v>6760.0</v>
      </c>
      <c r="G183" s="6">
        <v>3.0</v>
      </c>
      <c r="H183" s="7">
        <v>0.1</v>
      </c>
      <c r="I183" s="3" t="s">
        <v>65</v>
      </c>
      <c r="J183" s="3" t="s">
        <v>73</v>
      </c>
      <c r="K183" s="3" t="s">
        <v>81</v>
      </c>
      <c r="L183" s="3" t="s">
        <v>36</v>
      </c>
      <c r="M183" s="5">
        <v>18252.0</v>
      </c>
      <c r="N183" s="11">
        <f t="shared" si="1"/>
        <v>20280</v>
      </c>
    </row>
    <row r="184">
      <c r="A184" s="3" t="s">
        <v>1104</v>
      </c>
      <c r="B184" s="3" t="s">
        <v>1105</v>
      </c>
      <c r="C184" s="4">
        <v>45214.0</v>
      </c>
      <c r="D184" s="10" t="s">
        <v>1107</v>
      </c>
      <c r="E184" s="3" t="s">
        <v>30</v>
      </c>
      <c r="F184" s="5">
        <v>9487.0</v>
      </c>
      <c r="G184" s="6">
        <v>4.0</v>
      </c>
      <c r="H184" s="7">
        <v>0.16</v>
      </c>
      <c r="I184" s="3" t="s">
        <v>55</v>
      </c>
      <c r="J184" s="3" t="s">
        <v>22</v>
      </c>
      <c r="K184" s="3" t="s">
        <v>88</v>
      </c>
      <c r="L184" s="3" t="s">
        <v>36</v>
      </c>
      <c r="M184" s="5">
        <v>31876.32</v>
      </c>
      <c r="N184" s="11">
        <f t="shared" si="1"/>
        <v>37948</v>
      </c>
    </row>
    <row r="185">
      <c r="A185" s="3" t="s">
        <v>1110</v>
      </c>
      <c r="B185" s="3" t="s">
        <v>1111</v>
      </c>
      <c r="C185" s="4">
        <v>44940.0</v>
      </c>
      <c r="D185" s="10" t="s">
        <v>1113</v>
      </c>
      <c r="E185" s="3" t="s">
        <v>52</v>
      </c>
      <c r="F185" s="5">
        <v>6137.0</v>
      </c>
      <c r="G185" s="6">
        <v>3.0</v>
      </c>
      <c r="H185" s="7">
        <v>0.05</v>
      </c>
      <c r="I185" s="3" t="s">
        <v>65</v>
      </c>
      <c r="J185" s="3" t="s">
        <v>22</v>
      </c>
      <c r="K185" s="3" t="s">
        <v>81</v>
      </c>
      <c r="L185" s="3" t="s">
        <v>46</v>
      </c>
      <c r="M185" s="5">
        <v>17490.45</v>
      </c>
      <c r="N185" s="11">
        <f t="shared" si="1"/>
        <v>18411</v>
      </c>
    </row>
    <row r="186">
      <c r="A186" s="3" t="s">
        <v>1116</v>
      </c>
      <c r="B186" s="3" t="s">
        <v>1117</v>
      </c>
      <c r="C186" s="4">
        <v>45254.0</v>
      </c>
      <c r="D186" s="10" t="s">
        <v>1119</v>
      </c>
      <c r="E186" s="3" t="s">
        <v>42</v>
      </c>
      <c r="F186" s="5">
        <v>1142.0</v>
      </c>
      <c r="G186" s="6">
        <v>3.0</v>
      </c>
      <c r="H186" s="7">
        <v>0.12</v>
      </c>
      <c r="I186" s="3" t="s">
        <v>21</v>
      </c>
      <c r="J186" s="3" t="s">
        <v>22</v>
      </c>
      <c r="K186" s="3" t="s">
        <v>121</v>
      </c>
      <c r="L186" s="3" t="s">
        <v>36</v>
      </c>
      <c r="M186" s="5">
        <v>3014.88</v>
      </c>
      <c r="N186" s="11">
        <f t="shared" si="1"/>
        <v>3426</v>
      </c>
    </row>
    <row r="187">
      <c r="A187" s="3" t="s">
        <v>1122</v>
      </c>
      <c r="B187" s="3" t="s">
        <v>1123</v>
      </c>
      <c r="C187" s="4">
        <v>45111.0</v>
      </c>
      <c r="D187" s="10" t="s">
        <v>1124</v>
      </c>
      <c r="E187" s="3" t="s">
        <v>30</v>
      </c>
      <c r="F187" s="5">
        <v>8087.0</v>
      </c>
      <c r="G187" s="6">
        <v>3.0</v>
      </c>
      <c r="H187" s="7">
        <v>0.18</v>
      </c>
      <c r="I187" s="3" t="s">
        <v>55</v>
      </c>
      <c r="J187" s="3" t="s">
        <v>45</v>
      </c>
      <c r="K187" s="3" t="s">
        <v>88</v>
      </c>
      <c r="L187" s="3" t="s">
        <v>46</v>
      </c>
      <c r="M187" s="5">
        <v>19894.02</v>
      </c>
      <c r="N187" s="11">
        <f t="shared" si="1"/>
        <v>24261</v>
      </c>
    </row>
    <row r="188">
      <c r="A188" s="3" t="s">
        <v>1127</v>
      </c>
      <c r="B188" s="3" t="s">
        <v>1128</v>
      </c>
      <c r="C188" s="4">
        <v>45079.0</v>
      </c>
      <c r="D188" s="10" t="s">
        <v>1129</v>
      </c>
      <c r="E188" s="3" t="s">
        <v>200</v>
      </c>
      <c r="F188" s="5">
        <v>1934.0</v>
      </c>
      <c r="G188" s="6">
        <v>3.0</v>
      </c>
      <c r="H188" s="7">
        <v>0.13</v>
      </c>
      <c r="I188" s="3" t="s">
        <v>55</v>
      </c>
      <c r="J188" s="3" t="s">
        <v>22</v>
      </c>
      <c r="K188" s="3" t="s">
        <v>88</v>
      </c>
      <c r="L188" s="3" t="s">
        <v>36</v>
      </c>
      <c r="M188" s="5">
        <v>5047.74</v>
      </c>
      <c r="N188" s="11">
        <f t="shared" si="1"/>
        <v>5802</v>
      </c>
    </row>
    <row r="189">
      <c r="A189" s="3" t="s">
        <v>1132</v>
      </c>
      <c r="B189" s="3" t="s">
        <v>1133</v>
      </c>
      <c r="C189" s="4">
        <v>45006.0</v>
      </c>
      <c r="D189" s="10" t="s">
        <v>1135</v>
      </c>
      <c r="E189" s="3" t="s">
        <v>200</v>
      </c>
      <c r="F189" s="5">
        <v>1921.0</v>
      </c>
      <c r="G189" s="6">
        <v>1.0</v>
      </c>
      <c r="H189" s="7">
        <v>0.16</v>
      </c>
      <c r="I189" s="3" t="s">
        <v>65</v>
      </c>
      <c r="J189" s="3" t="s">
        <v>73</v>
      </c>
      <c r="K189" s="3" t="s">
        <v>35</v>
      </c>
      <c r="L189" s="3" t="s">
        <v>46</v>
      </c>
      <c r="M189" s="5">
        <v>1613.64</v>
      </c>
      <c r="N189" s="11">
        <f t="shared" si="1"/>
        <v>1921</v>
      </c>
    </row>
    <row r="190">
      <c r="A190" s="3" t="s">
        <v>1137</v>
      </c>
      <c r="B190" s="3" t="s">
        <v>1138</v>
      </c>
      <c r="C190" s="4">
        <v>44968.0</v>
      </c>
      <c r="D190" s="10" t="s">
        <v>1139</v>
      </c>
      <c r="E190" s="3" t="s">
        <v>52</v>
      </c>
      <c r="F190" s="5">
        <v>7187.0</v>
      </c>
      <c r="G190" s="6">
        <v>4.0</v>
      </c>
      <c r="H190" s="7">
        <v>0.2</v>
      </c>
      <c r="I190" s="3" t="s">
        <v>65</v>
      </c>
      <c r="J190" s="3" t="s">
        <v>45</v>
      </c>
      <c r="K190" s="3" t="s">
        <v>88</v>
      </c>
      <c r="L190" s="3" t="s">
        <v>46</v>
      </c>
      <c r="M190" s="5">
        <v>22998.4</v>
      </c>
      <c r="N190" s="11">
        <f t="shared" si="1"/>
        <v>28748</v>
      </c>
    </row>
    <row r="191">
      <c r="A191" s="3" t="s">
        <v>1142</v>
      </c>
      <c r="B191" s="3" t="s">
        <v>1143</v>
      </c>
      <c r="C191" s="4">
        <v>45201.0</v>
      </c>
      <c r="D191" s="10" t="s">
        <v>1145</v>
      </c>
      <c r="E191" s="3" t="s">
        <v>52</v>
      </c>
      <c r="F191" s="5">
        <v>4964.0</v>
      </c>
      <c r="G191" s="6">
        <v>3.0</v>
      </c>
      <c r="H191" s="7">
        <v>0.17</v>
      </c>
      <c r="I191" s="3" t="s">
        <v>55</v>
      </c>
      <c r="J191" s="3" t="s">
        <v>22</v>
      </c>
      <c r="K191" s="3" t="s">
        <v>35</v>
      </c>
      <c r="L191" s="3" t="s">
        <v>36</v>
      </c>
      <c r="M191" s="5">
        <v>12360.36</v>
      </c>
      <c r="N191" s="11">
        <f t="shared" si="1"/>
        <v>14892</v>
      </c>
    </row>
    <row r="192">
      <c r="A192" s="3" t="s">
        <v>1148</v>
      </c>
      <c r="B192" s="3" t="s">
        <v>1149</v>
      </c>
      <c r="C192" s="4">
        <v>44967.0</v>
      </c>
      <c r="D192" s="10" t="s">
        <v>1151</v>
      </c>
      <c r="E192" s="3" t="s">
        <v>30</v>
      </c>
      <c r="F192" s="5">
        <v>1379.0</v>
      </c>
      <c r="G192" s="6">
        <v>1.0</v>
      </c>
      <c r="H192" s="7">
        <v>0.18</v>
      </c>
      <c r="I192" s="3" t="s">
        <v>21</v>
      </c>
      <c r="J192" s="3" t="s">
        <v>22</v>
      </c>
      <c r="K192" s="3" t="s">
        <v>23</v>
      </c>
      <c r="L192" s="3" t="s">
        <v>46</v>
      </c>
      <c r="M192" s="5">
        <v>1130.78</v>
      </c>
      <c r="N192" s="11">
        <f t="shared" si="1"/>
        <v>1379</v>
      </c>
    </row>
    <row r="193">
      <c r="A193" s="3" t="s">
        <v>1154</v>
      </c>
      <c r="B193" s="3" t="s">
        <v>1155</v>
      </c>
      <c r="C193" s="4">
        <v>45134.0</v>
      </c>
      <c r="D193" s="10" t="s">
        <v>1156</v>
      </c>
      <c r="E193" s="3" t="s">
        <v>52</v>
      </c>
      <c r="F193" s="5">
        <v>245.0</v>
      </c>
      <c r="G193" s="6">
        <v>1.0</v>
      </c>
      <c r="H193" s="7">
        <v>0.19</v>
      </c>
      <c r="I193" s="3" t="s">
        <v>21</v>
      </c>
      <c r="J193" s="3" t="s">
        <v>56</v>
      </c>
      <c r="K193" s="3" t="s">
        <v>35</v>
      </c>
      <c r="L193" s="3" t="s">
        <v>46</v>
      </c>
      <c r="M193" s="5">
        <v>198.45</v>
      </c>
      <c r="N193" s="11">
        <f t="shared" si="1"/>
        <v>245</v>
      </c>
    </row>
    <row r="194">
      <c r="A194" s="3" t="s">
        <v>1159</v>
      </c>
      <c r="B194" s="3" t="s">
        <v>1160</v>
      </c>
      <c r="C194" s="4">
        <v>45194.0</v>
      </c>
      <c r="D194" s="10" t="s">
        <v>1161</v>
      </c>
      <c r="E194" s="3" t="s">
        <v>17</v>
      </c>
      <c r="F194" s="5">
        <v>3331.0</v>
      </c>
      <c r="G194" s="6">
        <v>2.0</v>
      </c>
      <c r="H194" s="7">
        <v>0.15</v>
      </c>
      <c r="I194" s="3" t="s">
        <v>34</v>
      </c>
      <c r="J194" s="3" t="s">
        <v>73</v>
      </c>
      <c r="K194" s="3" t="s">
        <v>35</v>
      </c>
      <c r="L194" s="3" t="s">
        <v>24</v>
      </c>
      <c r="M194" s="5">
        <v>5662.7</v>
      </c>
      <c r="N194" s="11">
        <f t="shared" si="1"/>
        <v>6662</v>
      </c>
    </row>
    <row r="195">
      <c r="A195" s="3" t="s">
        <v>1164</v>
      </c>
      <c r="B195" s="3" t="s">
        <v>1165</v>
      </c>
      <c r="C195" s="4">
        <v>45093.0</v>
      </c>
      <c r="D195" s="10" t="s">
        <v>1167</v>
      </c>
      <c r="E195" s="3" t="s">
        <v>42</v>
      </c>
      <c r="F195" s="5">
        <v>1363.0</v>
      </c>
      <c r="G195" s="6">
        <v>2.0</v>
      </c>
      <c r="H195" s="7">
        <v>0.2</v>
      </c>
      <c r="I195" s="3" t="s">
        <v>21</v>
      </c>
      <c r="J195" s="3" t="s">
        <v>45</v>
      </c>
      <c r="K195" s="3" t="s">
        <v>23</v>
      </c>
      <c r="L195" s="3" t="s">
        <v>36</v>
      </c>
      <c r="M195" s="5">
        <v>2180.8</v>
      </c>
      <c r="N195" s="11">
        <f t="shared" si="1"/>
        <v>2726</v>
      </c>
    </row>
    <row r="196">
      <c r="A196" s="3" t="s">
        <v>1170</v>
      </c>
      <c r="B196" s="3" t="s">
        <v>1171</v>
      </c>
      <c r="C196" s="4">
        <v>45038.0</v>
      </c>
      <c r="D196" s="10" t="s">
        <v>1173</v>
      </c>
      <c r="E196" s="3" t="s">
        <v>42</v>
      </c>
      <c r="F196" s="5">
        <v>5463.0</v>
      </c>
      <c r="G196" s="6">
        <v>3.0</v>
      </c>
      <c r="H196" s="7">
        <v>0.13</v>
      </c>
      <c r="I196" s="3" t="s">
        <v>65</v>
      </c>
      <c r="J196" s="3" t="s">
        <v>73</v>
      </c>
      <c r="K196" s="3" t="s">
        <v>121</v>
      </c>
      <c r="L196" s="3" t="s">
        <v>46</v>
      </c>
      <c r="M196" s="5">
        <v>14258.43</v>
      </c>
      <c r="N196" s="11">
        <f t="shared" si="1"/>
        <v>16389</v>
      </c>
    </row>
    <row r="197">
      <c r="A197" s="3" t="s">
        <v>1176</v>
      </c>
      <c r="B197" s="3" t="s">
        <v>1177</v>
      </c>
      <c r="C197" s="4">
        <v>45276.0</v>
      </c>
      <c r="D197" s="10" t="s">
        <v>1178</v>
      </c>
      <c r="E197" s="3" t="s">
        <v>42</v>
      </c>
      <c r="F197" s="5">
        <v>5925.0</v>
      </c>
      <c r="G197" s="6">
        <v>2.0</v>
      </c>
      <c r="H197" s="7">
        <v>0.09</v>
      </c>
      <c r="I197" s="3" t="s">
        <v>21</v>
      </c>
      <c r="J197" s="3" t="s">
        <v>73</v>
      </c>
      <c r="K197" s="3" t="s">
        <v>121</v>
      </c>
      <c r="L197" s="3" t="s">
        <v>36</v>
      </c>
      <c r="M197" s="5">
        <v>10783.5</v>
      </c>
      <c r="N197" s="11">
        <f t="shared" si="1"/>
        <v>11850</v>
      </c>
    </row>
    <row r="198">
      <c r="A198" s="3" t="s">
        <v>1181</v>
      </c>
      <c r="B198" s="3" t="s">
        <v>1182</v>
      </c>
      <c r="C198" s="4">
        <v>45056.0</v>
      </c>
      <c r="D198" s="10" t="s">
        <v>1184</v>
      </c>
      <c r="E198" s="3" t="s">
        <v>30</v>
      </c>
      <c r="F198" s="5">
        <v>3359.0</v>
      </c>
      <c r="G198" s="6">
        <v>1.0</v>
      </c>
      <c r="H198" s="7">
        <v>0.15</v>
      </c>
      <c r="I198" s="3" t="s">
        <v>55</v>
      </c>
      <c r="J198" s="3" t="s">
        <v>56</v>
      </c>
      <c r="K198" s="3" t="s">
        <v>121</v>
      </c>
      <c r="L198" s="3" t="s">
        <v>46</v>
      </c>
      <c r="M198" s="5">
        <v>2855.15</v>
      </c>
      <c r="N198" s="11">
        <f t="shared" si="1"/>
        <v>3359</v>
      </c>
    </row>
    <row r="199">
      <c r="A199" s="3" t="s">
        <v>1187</v>
      </c>
      <c r="B199" s="3" t="s">
        <v>1188</v>
      </c>
      <c r="C199" s="4">
        <v>45150.0</v>
      </c>
      <c r="D199" s="10" t="s">
        <v>1190</v>
      </c>
      <c r="E199" s="3" t="s">
        <v>42</v>
      </c>
      <c r="F199" s="5">
        <v>9131.0</v>
      </c>
      <c r="G199" s="6">
        <v>4.0</v>
      </c>
      <c r="H199" s="7">
        <v>0.13</v>
      </c>
      <c r="I199" s="3" t="s">
        <v>65</v>
      </c>
      <c r="J199" s="3" t="s">
        <v>45</v>
      </c>
      <c r="K199" s="3" t="s">
        <v>81</v>
      </c>
      <c r="L199" s="3" t="s">
        <v>24</v>
      </c>
      <c r="M199" s="5">
        <v>31775.88</v>
      </c>
      <c r="N199" s="11">
        <f t="shared" si="1"/>
        <v>36524</v>
      </c>
    </row>
    <row r="200">
      <c r="A200" s="3" t="s">
        <v>1193</v>
      </c>
      <c r="B200" s="3" t="s">
        <v>1194</v>
      </c>
      <c r="C200" s="4">
        <v>45227.0</v>
      </c>
      <c r="D200" s="10" t="s">
        <v>1196</v>
      </c>
      <c r="E200" s="3" t="s">
        <v>30</v>
      </c>
      <c r="F200" s="5">
        <v>8801.0</v>
      </c>
      <c r="G200" s="6">
        <v>3.0</v>
      </c>
      <c r="H200" s="7">
        <v>0.08</v>
      </c>
      <c r="I200" s="3" t="s">
        <v>65</v>
      </c>
      <c r="J200" s="3" t="s">
        <v>56</v>
      </c>
      <c r="K200" s="3" t="s">
        <v>23</v>
      </c>
      <c r="L200" s="3" t="s">
        <v>46</v>
      </c>
      <c r="M200" s="5">
        <v>24290.76</v>
      </c>
      <c r="N200" s="11">
        <f t="shared" si="1"/>
        <v>26403</v>
      </c>
    </row>
    <row r="201">
      <c r="A201" s="3" t="s">
        <v>1199</v>
      </c>
      <c r="B201" s="3" t="s">
        <v>1200</v>
      </c>
      <c r="C201" s="4">
        <v>45143.0</v>
      </c>
      <c r="D201" s="10" t="s">
        <v>1202</v>
      </c>
      <c r="E201" s="3" t="s">
        <v>200</v>
      </c>
      <c r="F201" s="5">
        <v>9187.0</v>
      </c>
      <c r="G201" s="6">
        <v>2.0</v>
      </c>
      <c r="H201" s="7">
        <v>0.06</v>
      </c>
      <c r="I201" s="3" t="s">
        <v>65</v>
      </c>
      <c r="J201" s="3" t="s">
        <v>22</v>
      </c>
      <c r="K201" s="3" t="s">
        <v>35</v>
      </c>
      <c r="L201" s="3" t="s">
        <v>24</v>
      </c>
      <c r="M201" s="5">
        <v>17271.56</v>
      </c>
      <c r="N201" s="11">
        <f t="shared" si="1"/>
        <v>18374</v>
      </c>
    </row>
    <row r="202">
      <c r="A202" s="3" t="s">
        <v>1205</v>
      </c>
      <c r="B202" s="3" t="s">
        <v>1206</v>
      </c>
      <c r="C202" s="4">
        <v>44951.0</v>
      </c>
      <c r="D202" s="10" t="s">
        <v>1208</v>
      </c>
      <c r="E202" s="3" t="s">
        <v>42</v>
      </c>
      <c r="F202" s="5">
        <v>8928.0</v>
      </c>
      <c r="G202" s="6">
        <v>4.0</v>
      </c>
      <c r="H202" s="7">
        <v>0.18</v>
      </c>
      <c r="I202" s="3" t="s">
        <v>65</v>
      </c>
      <c r="J202" s="3" t="s">
        <v>56</v>
      </c>
      <c r="K202" s="3" t="s">
        <v>35</v>
      </c>
      <c r="L202" s="3" t="s">
        <v>24</v>
      </c>
      <c r="M202" s="5">
        <v>29283.84</v>
      </c>
      <c r="N202" s="11">
        <f t="shared" si="1"/>
        <v>35712</v>
      </c>
    </row>
    <row r="203">
      <c r="A203" s="3" t="s">
        <v>1211</v>
      </c>
      <c r="B203" s="3" t="s">
        <v>1212</v>
      </c>
      <c r="C203" s="4">
        <v>44994.0</v>
      </c>
      <c r="D203" s="10" t="s">
        <v>1214</v>
      </c>
      <c r="E203" s="3" t="s">
        <v>52</v>
      </c>
      <c r="F203" s="5">
        <v>4078.0</v>
      </c>
      <c r="G203" s="6">
        <v>1.0</v>
      </c>
      <c r="H203" s="7">
        <v>0.07</v>
      </c>
      <c r="I203" s="3" t="s">
        <v>34</v>
      </c>
      <c r="J203" s="3" t="s">
        <v>56</v>
      </c>
      <c r="K203" s="3" t="s">
        <v>88</v>
      </c>
      <c r="L203" s="3" t="s">
        <v>36</v>
      </c>
      <c r="M203" s="5">
        <v>3792.54</v>
      </c>
      <c r="N203" s="11">
        <f t="shared" si="1"/>
        <v>4078</v>
      </c>
    </row>
    <row r="204">
      <c r="A204" s="3" t="s">
        <v>1217</v>
      </c>
      <c r="B204" s="3" t="s">
        <v>1218</v>
      </c>
      <c r="C204" s="4">
        <v>45186.0</v>
      </c>
      <c r="D204" s="10" t="s">
        <v>1220</v>
      </c>
      <c r="E204" s="3" t="s">
        <v>200</v>
      </c>
      <c r="F204" s="5">
        <v>8418.0</v>
      </c>
      <c r="G204" s="6">
        <v>2.0</v>
      </c>
      <c r="H204" s="7">
        <v>0.2</v>
      </c>
      <c r="I204" s="3" t="s">
        <v>21</v>
      </c>
      <c r="J204" s="3" t="s">
        <v>73</v>
      </c>
      <c r="K204" s="3" t="s">
        <v>81</v>
      </c>
      <c r="L204" s="3" t="s">
        <v>46</v>
      </c>
      <c r="M204" s="5">
        <v>13468.8</v>
      </c>
      <c r="N204" s="11">
        <f t="shared" si="1"/>
        <v>16836</v>
      </c>
    </row>
    <row r="205">
      <c r="A205" s="3" t="s">
        <v>1223</v>
      </c>
      <c r="B205" s="3" t="s">
        <v>1224</v>
      </c>
      <c r="C205" s="4">
        <v>45161.0</v>
      </c>
      <c r="D205" s="10" t="s">
        <v>1226</v>
      </c>
      <c r="E205" s="3" t="s">
        <v>42</v>
      </c>
      <c r="F205" s="5">
        <v>2402.0</v>
      </c>
      <c r="G205" s="6">
        <v>3.0</v>
      </c>
      <c r="H205" s="7">
        <v>0.06</v>
      </c>
      <c r="I205" s="3" t="s">
        <v>65</v>
      </c>
      <c r="J205" s="3" t="s">
        <v>73</v>
      </c>
      <c r="K205" s="3" t="s">
        <v>81</v>
      </c>
      <c r="L205" s="3" t="s">
        <v>24</v>
      </c>
      <c r="M205" s="5">
        <v>6773.64</v>
      </c>
      <c r="N205" s="11">
        <f t="shared" si="1"/>
        <v>7206</v>
      </c>
    </row>
    <row r="206">
      <c r="A206" s="3" t="s">
        <v>1229</v>
      </c>
      <c r="B206" s="3" t="s">
        <v>1230</v>
      </c>
      <c r="C206" s="4">
        <v>45131.0</v>
      </c>
      <c r="D206" s="10" t="s">
        <v>1232</v>
      </c>
      <c r="E206" s="3" t="s">
        <v>42</v>
      </c>
      <c r="F206" s="5">
        <v>5862.0</v>
      </c>
      <c r="G206" s="6">
        <v>2.0</v>
      </c>
      <c r="H206" s="7">
        <v>0.12</v>
      </c>
      <c r="I206" s="3" t="s">
        <v>21</v>
      </c>
      <c r="J206" s="3" t="s">
        <v>22</v>
      </c>
      <c r="K206" s="3" t="s">
        <v>81</v>
      </c>
      <c r="L206" s="3" t="s">
        <v>46</v>
      </c>
      <c r="M206" s="5">
        <v>10317.12</v>
      </c>
      <c r="N206" s="11">
        <f t="shared" si="1"/>
        <v>11724</v>
      </c>
    </row>
    <row r="207">
      <c r="A207" s="3" t="s">
        <v>1235</v>
      </c>
      <c r="B207" s="3" t="s">
        <v>1236</v>
      </c>
      <c r="C207" s="4">
        <v>45218.0</v>
      </c>
      <c r="D207" s="10" t="s">
        <v>1237</v>
      </c>
      <c r="E207" s="3" t="s">
        <v>42</v>
      </c>
      <c r="F207" s="5">
        <v>8123.0</v>
      </c>
      <c r="G207" s="6">
        <v>3.0</v>
      </c>
      <c r="H207" s="7">
        <v>0.14</v>
      </c>
      <c r="I207" s="3" t="s">
        <v>65</v>
      </c>
      <c r="J207" s="3" t="s">
        <v>73</v>
      </c>
      <c r="K207" s="3" t="s">
        <v>121</v>
      </c>
      <c r="L207" s="3" t="s">
        <v>46</v>
      </c>
      <c r="M207" s="5">
        <v>20957.34</v>
      </c>
      <c r="N207" s="11">
        <f t="shared" si="1"/>
        <v>24369</v>
      </c>
    </row>
    <row r="208">
      <c r="A208" s="3" t="s">
        <v>1240</v>
      </c>
      <c r="B208" s="3" t="s">
        <v>1241</v>
      </c>
      <c r="C208" s="4">
        <v>45141.0</v>
      </c>
      <c r="D208" s="10" t="s">
        <v>1243</v>
      </c>
      <c r="E208" s="3" t="s">
        <v>30</v>
      </c>
      <c r="F208" s="5">
        <v>5807.0</v>
      </c>
      <c r="G208" s="6">
        <v>3.0</v>
      </c>
      <c r="H208" s="7">
        <v>0.19</v>
      </c>
      <c r="I208" s="3" t="s">
        <v>55</v>
      </c>
      <c r="J208" s="3" t="s">
        <v>45</v>
      </c>
      <c r="K208" s="3" t="s">
        <v>121</v>
      </c>
      <c r="L208" s="3" t="s">
        <v>36</v>
      </c>
      <c r="M208" s="5">
        <v>14111.01</v>
      </c>
      <c r="N208" s="11">
        <f t="shared" si="1"/>
        <v>17421</v>
      </c>
    </row>
    <row r="209">
      <c r="A209" s="3" t="s">
        <v>1246</v>
      </c>
      <c r="B209" s="3" t="s">
        <v>1247</v>
      </c>
      <c r="C209" s="4">
        <v>45116.0</v>
      </c>
      <c r="D209" s="10" t="s">
        <v>1249</v>
      </c>
      <c r="E209" s="3" t="s">
        <v>17</v>
      </c>
      <c r="F209" s="5">
        <v>3279.0</v>
      </c>
      <c r="G209" s="6">
        <v>2.0</v>
      </c>
      <c r="H209" s="7">
        <v>0.09</v>
      </c>
      <c r="I209" s="3" t="s">
        <v>65</v>
      </c>
      <c r="J209" s="3" t="s">
        <v>73</v>
      </c>
      <c r="K209" s="3" t="s">
        <v>23</v>
      </c>
      <c r="L209" s="3" t="s">
        <v>24</v>
      </c>
      <c r="M209" s="5">
        <v>5967.78</v>
      </c>
      <c r="N209" s="11">
        <f t="shared" si="1"/>
        <v>6558</v>
      </c>
    </row>
    <row r="210">
      <c r="A210" s="3" t="s">
        <v>1252</v>
      </c>
      <c r="B210" s="3" t="s">
        <v>1253</v>
      </c>
      <c r="C210" s="4">
        <v>45124.0</v>
      </c>
      <c r="D210" s="10" t="s">
        <v>1254</v>
      </c>
      <c r="E210" s="3" t="s">
        <v>42</v>
      </c>
      <c r="F210" s="5">
        <v>9742.0</v>
      </c>
      <c r="G210" s="6">
        <v>3.0</v>
      </c>
      <c r="H210" s="7">
        <v>0.11</v>
      </c>
      <c r="I210" s="3" t="s">
        <v>65</v>
      </c>
      <c r="J210" s="3" t="s">
        <v>73</v>
      </c>
      <c r="K210" s="3" t="s">
        <v>23</v>
      </c>
      <c r="L210" s="3" t="s">
        <v>24</v>
      </c>
      <c r="M210" s="5">
        <v>26011.14</v>
      </c>
      <c r="N210" s="11">
        <f t="shared" si="1"/>
        <v>29226</v>
      </c>
    </row>
    <row r="211">
      <c r="A211" s="3" t="s">
        <v>1257</v>
      </c>
      <c r="B211" s="3" t="s">
        <v>1258</v>
      </c>
      <c r="C211" s="4">
        <v>45142.0</v>
      </c>
      <c r="D211" s="10" t="s">
        <v>1260</v>
      </c>
      <c r="E211" s="3" t="s">
        <v>52</v>
      </c>
      <c r="F211" s="5">
        <v>1650.0</v>
      </c>
      <c r="G211" s="6">
        <v>3.0</v>
      </c>
      <c r="H211" s="7">
        <v>0.13</v>
      </c>
      <c r="I211" s="3" t="s">
        <v>65</v>
      </c>
      <c r="J211" s="3" t="s">
        <v>45</v>
      </c>
      <c r="K211" s="3" t="s">
        <v>88</v>
      </c>
      <c r="L211" s="3" t="s">
        <v>24</v>
      </c>
      <c r="M211" s="5">
        <v>4306.5</v>
      </c>
      <c r="N211" s="11">
        <f t="shared" si="1"/>
        <v>4950</v>
      </c>
    </row>
    <row r="212">
      <c r="A212" s="3" t="s">
        <v>1263</v>
      </c>
      <c r="B212" s="3" t="s">
        <v>1264</v>
      </c>
      <c r="C212" s="4">
        <v>44970.0</v>
      </c>
      <c r="D212" s="10" t="s">
        <v>1265</v>
      </c>
      <c r="E212" s="3" t="s">
        <v>42</v>
      </c>
      <c r="F212" s="5">
        <v>3706.0</v>
      </c>
      <c r="G212" s="6">
        <v>3.0</v>
      </c>
      <c r="H212" s="7">
        <v>0.05</v>
      </c>
      <c r="I212" s="3" t="s">
        <v>21</v>
      </c>
      <c r="J212" s="3" t="s">
        <v>73</v>
      </c>
      <c r="K212" s="3" t="s">
        <v>88</v>
      </c>
      <c r="L212" s="3" t="s">
        <v>36</v>
      </c>
      <c r="M212" s="5">
        <v>10562.1</v>
      </c>
      <c r="N212" s="11">
        <f t="shared" si="1"/>
        <v>11118</v>
      </c>
    </row>
    <row r="213">
      <c r="A213" s="3" t="s">
        <v>1267</v>
      </c>
      <c r="B213" s="3" t="s">
        <v>1268</v>
      </c>
      <c r="C213" s="4">
        <v>44959.0</v>
      </c>
      <c r="D213" s="10" t="s">
        <v>1269</v>
      </c>
      <c r="E213" s="3" t="s">
        <v>17</v>
      </c>
      <c r="F213" s="5">
        <v>2404.0</v>
      </c>
      <c r="G213" s="6">
        <v>4.0</v>
      </c>
      <c r="H213" s="7">
        <v>0.17</v>
      </c>
      <c r="I213" s="3" t="s">
        <v>34</v>
      </c>
      <c r="J213" s="3" t="s">
        <v>73</v>
      </c>
      <c r="K213" s="3" t="s">
        <v>88</v>
      </c>
      <c r="L213" s="3" t="s">
        <v>46</v>
      </c>
      <c r="M213" s="5">
        <v>7981.28</v>
      </c>
      <c r="N213" s="11">
        <f t="shared" si="1"/>
        <v>9616</v>
      </c>
    </row>
    <row r="214">
      <c r="A214" s="3" t="s">
        <v>1272</v>
      </c>
      <c r="B214" s="3" t="s">
        <v>1273</v>
      </c>
      <c r="C214" s="4">
        <v>44938.0</v>
      </c>
      <c r="D214" s="10" t="s">
        <v>1274</v>
      </c>
      <c r="E214" s="3" t="s">
        <v>17</v>
      </c>
      <c r="F214" s="5">
        <v>8865.0</v>
      </c>
      <c r="G214" s="6">
        <v>3.0</v>
      </c>
      <c r="H214" s="7">
        <v>0.2</v>
      </c>
      <c r="I214" s="3" t="s">
        <v>21</v>
      </c>
      <c r="J214" s="3" t="s">
        <v>73</v>
      </c>
      <c r="K214" s="3" t="s">
        <v>81</v>
      </c>
      <c r="L214" s="3" t="s">
        <v>24</v>
      </c>
      <c r="M214" s="5">
        <v>21276.0</v>
      </c>
      <c r="N214" s="11">
        <f t="shared" si="1"/>
        <v>26595</v>
      </c>
    </row>
    <row r="215">
      <c r="A215" s="3" t="s">
        <v>1277</v>
      </c>
      <c r="B215" s="3" t="s">
        <v>1278</v>
      </c>
      <c r="C215" s="4">
        <v>45031.0</v>
      </c>
      <c r="D215" s="10" t="s">
        <v>1280</v>
      </c>
      <c r="E215" s="3" t="s">
        <v>17</v>
      </c>
      <c r="F215" s="5">
        <v>8167.0</v>
      </c>
      <c r="G215" s="6">
        <v>2.0</v>
      </c>
      <c r="H215" s="7">
        <v>0.2</v>
      </c>
      <c r="I215" s="3" t="s">
        <v>65</v>
      </c>
      <c r="J215" s="3" t="s">
        <v>22</v>
      </c>
      <c r="K215" s="3" t="s">
        <v>88</v>
      </c>
      <c r="L215" s="3" t="s">
        <v>46</v>
      </c>
      <c r="M215" s="5">
        <v>13067.2</v>
      </c>
      <c r="N215" s="11">
        <f t="shared" si="1"/>
        <v>16334</v>
      </c>
    </row>
    <row r="216">
      <c r="A216" s="3" t="s">
        <v>1283</v>
      </c>
      <c r="B216" s="3" t="s">
        <v>1284</v>
      </c>
      <c r="C216" s="4">
        <v>45139.0</v>
      </c>
      <c r="D216" s="10" t="s">
        <v>1286</v>
      </c>
      <c r="E216" s="3" t="s">
        <v>200</v>
      </c>
      <c r="F216" s="5">
        <v>7827.0</v>
      </c>
      <c r="G216" s="6">
        <v>3.0</v>
      </c>
      <c r="H216" s="7">
        <v>0.15</v>
      </c>
      <c r="I216" s="3" t="s">
        <v>65</v>
      </c>
      <c r="J216" s="3" t="s">
        <v>22</v>
      </c>
      <c r="K216" s="3" t="s">
        <v>81</v>
      </c>
      <c r="L216" s="3" t="s">
        <v>36</v>
      </c>
      <c r="M216" s="5">
        <v>19958.85</v>
      </c>
      <c r="N216" s="11">
        <f t="shared" si="1"/>
        <v>23481</v>
      </c>
    </row>
    <row r="217">
      <c r="A217" s="3" t="s">
        <v>1289</v>
      </c>
      <c r="B217" s="3" t="s">
        <v>1290</v>
      </c>
      <c r="C217" s="4">
        <v>45065.0</v>
      </c>
      <c r="D217" s="10" t="s">
        <v>1292</v>
      </c>
      <c r="E217" s="3" t="s">
        <v>17</v>
      </c>
      <c r="F217" s="5">
        <v>3663.0</v>
      </c>
      <c r="G217" s="6">
        <v>3.0</v>
      </c>
      <c r="H217" s="7">
        <v>0.09</v>
      </c>
      <c r="I217" s="3" t="s">
        <v>21</v>
      </c>
      <c r="J217" s="3" t="s">
        <v>45</v>
      </c>
      <c r="K217" s="3" t="s">
        <v>121</v>
      </c>
      <c r="L217" s="3" t="s">
        <v>46</v>
      </c>
      <c r="M217" s="5">
        <v>9999.99</v>
      </c>
      <c r="N217" s="11">
        <f t="shared" si="1"/>
        <v>10989</v>
      </c>
    </row>
    <row r="218">
      <c r="A218" s="3" t="s">
        <v>1295</v>
      </c>
      <c r="B218" s="3" t="s">
        <v>1296</v>
      </c>
      <c r="C218" s="4">
        <v>45109.0</v>
      </c>
      <c r="D218" s="10" t="s">
        <v>1297</v>
      </c>
      <c r="E218" s="3" t="s">
        <v>30</v>
      </c>
      <c r="F218" s="5">
        <v>4177.0</v>
      </c>
      <c r="G218" s="6">
        <v>3.0</v>
      </c>
      <c r="H218" s="7">
        <v>0.14</v>
      </c>
      <c r="I218" s="3" t="s">
        <v>65</v>
      </c>
      <c r="J218" s="3" t="s">
        <v>22</v>
      </c>
      <c r="K218" s="3" t="s">
        <v>88</v>
      </c>
      <c r="L218" s="3" t="s">
        <v>46</v>
      </c>
      <c r="M218" s="5">
        <v>10776.66</v>
      </c>
      <c r="N218" s="11">
        <f t="shared" si="1"/>
        <v>12531</v>
      </c>
    </row>
    <row r="219">
      <c r="A219" s="3" t="s">
        <v>1300</v>
      </c>
      <c r="B219" s="3" t="s">
        <v>1301</v>
      </c>
      <c r="C219" s="4">
        <v>45052.0</v>
      </c>
      <c r="D219" s="10" t="s">
        <v>1302</v>
      </c>
      <c r="E219" s="3" t="s">
        <v>200</v>
      </c>
      <c r="F219" s="5">
        <v>6389.0</v>
      </c>
      <c r="G219" s="6">
        <v>4.0</v>
      </c>
      <c r="H219" s="7">
        <v>0.09</v>
      </c>
      <c r="I219" s="3" t="s">
        <v>55</v>
      </c>
      <c r="J219" s="3" t="s">
        <v>56</v>
      </c>
      <c r="K219" s="3" t="s">
        <v>23</v>
      </c>
      <c r="L219" s="3" t="s">
        <v>36</v>
      </c>
      <c r="M219" s="5">
        <v>23255.96</v>
      </c>
      <c r="N219" s="11">
        <f t="shared" si="1"/>
        <v>25556</v>
      </c>
    </row>
    <row r="220">
      <c r="A220" s="3" t="s">
        <v>1305</v>
      </c>
      <c r="B220" s="3" t="s">
        <v>1306</v>
      </c>
      <c r="C220" s="4">
        <v>45083.0</v>
      </c>
      <c r="D220" s="10" t="s">
        <v>1308</v>
      </c>
      <c r="E220" s="3" t="s">
        <v>30</v>
      </c>
      <c r="F220" s="5">
        <v>6821.0</v>
      </c>
      <c r="G220" s="6">
        <v>3.0</v>
      </c>
      <c r="H220" s="7">
        <v>0.07</v>
      </c>
      <c r="I220" s="3" t="s">
        <v>21</v>
      </c>
      <c r="J220" s="3" t="s">
        <v>45</v>
      </c>
      <c r="K220" s="3" t="s">
        <v>23</v>
      </c>
      <c r="L220" s="3" t="s">
        <v>46</v>
      </c>
      <c r="M220" s="5">
        <v>19030.59</v>
      </c>
      <c r="N220" s="11">
        <f t="shared" si="1"/>
        <v>20463</v>
      </c>
    </row>
    <row r="221">
      <c r="A221" s="3" t="s">
        <v>1311</v>
      </c>
      <c r="B221" s="3" t="s">
        <v>1312</v>
      </c>
      <c r="C221" s="4">
        <v>45038.0</v>
      </c>
      <c r="D221" s="10" t="s">
        <v>1313</v>
      </c>
      <c r="E221" s="3" t="s">
        <v>17</v>
      </c>
      <c r="F221" s="5">
        <v>6997.0</v>
      </c>
      <c r="G221" s="6">
        <v>1.0</v>
      </c>
      <c r="H221" s="7">
        <v>0.05</v>
      </c>
      <c r="I221" s="3" t="s">
        <v>34</v>
      </c>
      <c r="J221" s="3" t="s">
        <v>45</v>
      </c>
      <c r="K221" s="3" t="s">
        <v>35</v>
      </c>
      <c r="L221" s="3" t="s">
        <v>24</v>
      </c>
      <c r="M221" s="5">
        <v>6647.15</v>
      </c>
      <c r="N221" s="11">
        <f t="shared" si="1"/>
        <v>6997</v>
      </c>
    </row>
    <row r="222">
      <c r="A222" s="3" t="s">
        <v>1316</v>
      </c>
      <c r="B222" s="3" t="s">
        <v>1317</v>
      </c>
      <c r="C222" s="4">
        <v>45185.0</v>
      </c>
      <c r="D222" s="10" t="s">
        <v>1318</v>
      </c>
      <c r="E222" s="3" t="s">
        <v>42</v>
      </c>
      <c r="F222" s="5">
        <v>1811.0</v>
      </c>
      <c r="G222" s="6">
        <v>2.0</v>
      </c>
      <c r="H222" s="7">
        <v>0.14</v>
      </c>
      <c r="I222" s="3" t="s">
        <v>65</v>
      </c>
      <c r="J222" s="3" t="s">
        <v>56</v>
      </c>
      <c r="K222" s="3" t="s">
        <v>88</v>
      </c>
      <c r="L222" s="3" t="s">
        <v>24</v>
      </c>
      <c r="M222" s="5">
        <v>3114.92</v>
      </c>
      <c r="N222" s="11">
        <f t="shared" si="1"/>
        <v>3622</v>
      </c>
    </row>
    <row r="223">
      <c r="A223" s="3" t="s">
        <v>1321</v>
      </c>
      <c r="B223" s="3" t="s">
        <v>1322</v>
      </c>
      <c r="C223" s="4">
        <v>44954.0</v>
      </c>
      <c r="D223" s="10" t="s">
        <v>1324</v>
      </c>
      <c r="E223" s="3" t="s">
        <v>30</v>
      </c>
      <c r="F223" s="5">
        <v>7857.0</v>
      </c>
      <c r="G223" s="6">
        <v>2.0</v>
      </c>
      <c r="H223" s="7">
        <v>0.09</v>
      </c>
      <c r="I223" s="3" t="s">
        <v>55</v>
      </c>
      <c r="J223" s="3" t="s">
        <v>73</v>
      </c>
      <c r="K223" s="3" t="s">
        <v>88</v>
      </c>
      <c r="L223" s="3" t="s">
        <v>36</v>
      </c>
      <c r="M223" s="5">
        <v>14299.74</v>
      </c>
      <c r="N223" s="11">
        <f t="shared" si="1"/>
        <v>15714</v>
      </c>
    </row>
    <row r="224">
      <c r="A224" s="3" t="s">
        <v>1327</v>
      </c>
      <c r="B224" s="3" t="s">
        <v>1328</v>
      </c>
      <c r="C224" s="4">
        <v>45144.0</v>
      </c>
      <c r="D224" s="10" t="s">
        <v>1330</v>
      </c>
      <c r="E224" s="3" t="s">
        <v>52</v>
      </c>
      <c r="F224" s="5">
        <v>5345.0</v>
      </c>
      <c r="G224" s="6">
        <v>4.0</v>
      </c>
      <c r="H224" s="7">
        <v>0.07</v>
      </c>
      <c r="I224" s="3" t="s">
        <v>65</v>
      </c>
      <c r="J224" s="3" t="s">
        <v>22</v>
      </c>
      <c r="K224" s="3" t="s">
        <v>121</v>
      </c>
      <c r="L224" s="3" t="s">
        <v>24</v>
      </c>
      <c r="M224" s="5">
        <v>19883.4</v>
      </c>
      <c r="N224" s="11">
        <f t="shared" si="1"/>
        <v>21380</v>
      </c>
    </row>
    <row r="225">
      <c r="A225" s="3" t="s">
        <v>1333</v>
      </c>
      <c r="B225" s="3" t="s">
        <v>1334</v>
      </c>
      <c r="C225" s="4">
        <v>45078.0</v>
      </c>
      <c r="D225" s="10" t="s">
        <v>1335</v>
      </c>
      <c r="E225" s="3" t="s">
        <v>52</v>
      </c>
      <c r="F225" s="5">
        <v>9484.0</v>
      </c>
      <c r="G225" s="6">
        <v>1.0</v>
      </c>
      <c r="H225" s="7">
        <v>0.17</v>
      </c>
      <c r="I225" s="3" t="s">
        <v>21</v>
      </c>
      <c r="J225" s="3" t="s">
        <v>73</v>
      </c>
      <c r="K225" s="3" t="s">
        <v>121</v>
      </c>
      <c r="L225" s="3" t="s">
        <v>24</v>
      </c>
      <c r="M225" s="5">
        <v>7871.72</v>
      </c>
      <c r="N225" s="11">
        <f t="shared" si="1"/>
        <v>9484</v>
      </c>
    </row>
    <row r="226">
      <c r="A226" s="3" t="s">
        <v>1338</v>
      </c>
      <c r="B226" s="3" t="s">
        <v>1339</v>
      </c>
      <c r="C226" s="4">
        <v>45236.0</v>
      </c>
      <c r="D226" s="10" t="s">
        <v>1341</v>
      </c>
      <c r="E226" s="3" t="s">
        <v>30</v>
      </c>
      <c r="F226" s="5">
        <v>8104.0</v>
      </c>
      <c r="G226" s="6">
        <v>2.0</v>
      </c>
      <c r="H226" s="7">
        <v>0.08</v>
      </c>
      <c r="I226" s="3" t="s">
        <v>21</v>
      </c>
      <c r="J226" s="3" t="s">
        <v>73</v>
      </c>
      <c r="K226" s="3" t="s">
        <v>35</v>
      </c>
      <c r="L226" s="3" t="s">
        <v>36</v>
      </c>
      <c r="M226" s="5">
        <v>14911.36</v>
      </c>
      <c r="N226" s="11">
        <f t="shared" si="1"/>
        <v>16208</v>
      </c>
    </row>
    <row r="227">
      <c r="A227" s="3" t="s">
        <v>1344</v>
      </c>
      <c r="B227" s="3" t="s">
        <v>1345</v>
      </c>
      <c r="C227" s="4">
        <v>45234.0</v>
      </c>
      <c r="D227" s="10" t="s">
        <v>1346</v>
      </c>
      <c r="E227" s="3" t="s">
        <v>200</v>
      </c>
      <c r="F227" s="5">
        <v>6127.0</v>
      </c>
      <c r="G227" s="6">
        <v>1.0</v>
      </c>
      <c r="H227" s="7">
        <v>0.2</v>
      </c>
      <c r="I227" s="3" t="s">
        <v>55</v>
      </c>
      <c r="J227" s="3" t="s">
        <v>45</v>
      </c>
      <c r="K227" s="3" t="s">
        <v>81</v>
      </c>
      <c r="L227" s="3" t="s">
        <v>36</v>
      </c>
      <c r="M227" s="5">
        <v>4901.6</v>
      </c>
      <c r="N227" s="11">
        <f t="shared" si="1"/>
        <v>6127</v>
      </c>
    </row>
    <row r="228">
      <c r="A228" s="3" t="s">
        <v>1349</v>
      </c>
      <c r="B228" s="3" t="s">
        <v>1350</v>
      </c>
      <c r="C228" s="4">
        <v>45101.0</v>
      </c>
      <c r="D228" s="10" t="s">
        <v>1351</v>
      </c>
      <c r="E228" s="3" t="s">
        <v>17</v>
      </c>
      <c r="F228" s="5">
        <v>739.0</v>
      </c>
      <c r="G228" s="6">
        <v>2.0</v>
      </c>
      <c r="H228" s="7">
        <v>0.17</v>
      </c>
      <c r="I228" s="3" t="s">
        <v>34</v>
      </c>
      <c r="J228" s="3" t="s">
        <v>22</v>
      </c>
      <c r="K228" s="3" t="s">
        <v>88</v>
      </c>
      <c r="L228" s="3" t="s">
        <v>24</v>
      </c>
      <c r="M228" s="5">
        <v>1226.74</v>
      </c>
      <c r="N228" s="11">
        <f t="shared" si="1"/>
        <v>1478</v>
      </c>
    </row>
    <row r="229">
      <c r="A229" s="3" t="s">
        <v>1354</v>
      </c>
      <c r="B229" s="3" t="s">
        <v>1355</v>
      </c>
      <c r="C229" s="4">
        <v>45075.0</v>
      </c>
      <c r="D229" s="10" t="s">
        <v>1356</v>
      </c>
      <c r="E229" s="3" t="s">
        <v>42</v>
      </c>
      <c r="F229" s="5">
        <v>4401.0</v>
      </c>
      <c r="G229" s="6">
        <v>4.0</v>
      </c>
      <c r="H229" s="7">
        <v>0.19</v>
      </c>
      <c r="I229" s="3" t="s">
        <v>65</v>
      </c>
      <c r="J229" s="3" t="s">
        <v>56</v>
      </c>
      <c r="K229" s="3" t="s">
        <v>121</v>
      </c>
      <c r="L229" s="3" t="s">
        <v>46</v>
      </c>
      <c r="M229" s="5">
        <v>14259.24</v>
      </c>
      <c r="N229" s="11">
        <f t="shared" si="1"/>
        <v>17604</v>
      </c>
    </row>
    <row r="230">
      <c r="A230" s="3" t="s">
        <v>1359</v>
      </c>
      <c r="B230" s="3" t="s">
        <v>1360</v>
      </c>
      <c r="C230" s="4">
        <v>44956.0</v>
      </c>
      <c r="D230" s="10" t="s">
        <v>1362</v>
      </c>
      <c r="E230" s="3" t="s">
        <v>200</v>
      </c>
      <c r="F230" s="5">
        <v>9986.0</v>
      </c>
      <c r="G230" s="6">
        <v>2.0</v>
      </c>
      <c r="H230" s="7">
        <v>0.14</v>
      </c>
      <c r="I230" s="3" t="s">
        <v>21</v>
      </c>
      <c r="J230" s="3" t="s">
        <v>22</v>
      </c>
      <c r="K230" s="3" t="s">
        <v>35</v>
      </c>
      <c r="L230" s="3" t="s">
        <v>36</v>
      </c>
      <c r="M230" s="5">
        <v>17175.92</v>
      </c>
      <c r="N230" s="11">
        <f t="shared" si="1"/>
        <v>19972</v>
      </c>
    </row>
    <row r="231">
      <c r="A231" s="3" t="s">
        <v>1365</v>
      </c>
      <c r="B231" s="3" t="s">
        <v>1366</v>
      </c>
      <c r="C231" s="4">
        <v>44994.0</v>
      </c>
      <c r="D231" s="10" t="s">
        <v>1367</v>
      </c>
      <c r="E231" s="3" t="s">
        <v>200</v>
      </c>
      <c r="F231" s="5">
        <v>4560.0</v>
      </c>
      <c r="G231" s="6">
        <v>4.0</v>
      </c>
      <c r="H231" s="7">
        <v>0.12</v>
      </c>
      <c r="I231" s="3" t="s">
        <v>34</v>
      </c>
      <c r="J231" s="3" t="s">
        <v>56</v>
      </c>
      <c r="K231" s="3" t="s">
        <v>88</v>
      </c>
      <c r="L231" s="3" t="s">
        <v>24</v>
      </c>
      <c r="M231" s="5">
        <v>16051.2</v>
      </c>
      <c r="N231" s="11">
        <f t="shared" si="1"/>
        <v>18240</v>
      </c>
    </row>
    <row r="232">
      <c r="A232" s="3" t="s">
        <v>1370</v>
      </c>
      <c r="B232" s="3" t="s">
        <v>1371</v>
      </c>
      <c r="C232" s="4">
        <v>44962.0</v>
      </c>
      <c r="D232" s="10" t="s">
        <v>1373</v>
      </c>
      <c r="E232" s="3" t="s">
        <v>30</v>
      </c>
      <c r="F232" s="5">
        <v>4541.0</v>
      </c>
      <c r="G232" s="6">
        <v>4.0</v>
      </c>
      <c r="H232" s="7">
        <v>0.07</v>
      </c>
      <c r="I232" s="3" t="s">
        <v>34</v>
      </c>
      <c r="J232" s="3" t="s">
        <v>56</v>
      </c>
      <c r="K232" s="3" t="s">
        <v>121</v>
      </c>
      <c r="L232" s="3" t="s">
        <v>36</v>
      </c>
      <c r="M232" s="5">
        <v>16892.52</v>
      </c>
      <c r="N232" s="11">
        <f t="shared" si="1"/>
        <v>18164</v>
      </c>
    </row>
    <row r="233">
      <c r="A233" s="3" t="s">
        <v>1376</v>
      </c>
      <c r="B233" s="3" t="s">
        <v>1377</v>
      </c>
      <c r="C233" s="4">
        <v>45222.0</v>
      </c>
      <c r="D233" s="10" t="s">
        <v>1379</v>
      </c>
      <c r="E233" s="3" t="s">
        <v>17</v>
      </c>
      <c r="F233" s="5">
        <v>2456.0</v>
      </c>
      <c r="G233" s="6">
        <v>3.0</v>
      </c>
      <c r="H233" s="7">
        <v>0.11</v>
      </c>
      <c r="I233" s="3" t="s">
        <v>34</v>
      </c>
      <c r="J233" s="3" t="s">
        <v>45</v>
      </c>
      <c r="K233" s="3" t="s">
        <v>35</v>
      </c>
      <c r="L233" s="3" t="s">
        <v>36</v>
      </c>
      <c r="M233" s="5">
        <v>6557.52</v>
      </c>
      <c r="N233" s="11">
        <f t="shared" si="1"/>
        <v>7368</v>
      </c>
    </row>
    <row r="234">
      <c r="A234" s="3" t="s">
        <v>1382</v>
      </c>
      <c r="B234" s="3" t="s">
        <v>1383</v>
      </c>
      <c r="C234" s="4">
        <v>45000.0</v>
      </c>
      <c r="D234" s="10" t="s">
        <v>1385</v>
      </c>
      <c r="E234" s="3" t="s">
        <v>52</v>
      </c>
      <c r="F234" s="5">
        <v>9916.0</v>
      </c>
      <c r="G234" s="6">
        <v>1.0</v>
      </c>
      <c r="H234" s="7">
        <v>0.13</v>
      </c>
      <c r="I234" s="3" t="s">
        <v>65</v>
      </c>
      <c r="J234" s="3" t="s">
        <v>73</v>
      </c>
      <c r="K234" s="3" t="s">
        <v>88</v>
      </c>
      <c r="L234" s="3" t="s">
        <v>46</v>
      </c>
      <c r="M234" s="5">
        <v>8626.92</v>
      </c>
      <c r="N234" s="11">
        <f t="shared" si="1"/>
        <v>9916</v>
      </c>
    </row>
    <row r="235">
      <c r="A235" s="3" t="s">
        <v>1388</v>
      </c>
      <c r="B235" s="3" t="s">
        <v>1389</v>
      </c>
      <c r="C235" s="4">
        <v>45224.0</v>
      </c>
      <c r="D235" s="10" t="s">
        <v>1391</v>
      </c>
      <c r="E235" s="3" t="s">
        <v>17</v>
      </c>
      <c r="F235" s="5">
        <v>9220.0</v>
      </c>
      <c r="G235" s="6">
        <v>4.0</v>
      </c>
      <c r="H235" s="7">
        <v>0.17</v>
      </c>
      <c r="I235" s="3" t="s">
        <v>65</v>
      </c>
      <c r="J235" s="3" t="s">
        <v>56</v>
      </c>
      <c r="K235" s="3" t="s">
        <v>81</v>
      </c>
      <c r="L235" s="3" t="s">
        <v>24</v>
      </c>
      <c r="M235" s="5">
        <v>30610.4</v>
      </c>
      <c r="N235" s="11">
        <f t="shared" si="1"/>
        <v>36880</v>
      </c>
    </row>
    <row r="236">
      <c r="A236" s="3" t="s">
        <v>1394</v>
      </c>
      <c r="B236" s="3" t="s">
        <v>1395</v>
      </c>
      <c r="C236" s="4">
        <v>45229.0</v>
      </c>
      <c r="D236" s="10" t="s">
        <v>1397</v>
      </c>
      <c r="E236" s="3" t="s">
        <v>200</v>
      </c>
      <c r="F236" s="5">
        <v>6628.0</v>
      </c>
      <c r="G236" s="6">
        <v>1.0</v>
      </c>
      <c r="H236" s="7">
        <v>0.17</v>
      </c>
      <c r="I236" s="3" t="s">
        <v>21</v>
      </c>
      <c r="J236" s="3" t="s">
        <v>22</v>
      </c>
      <c r="K236" s="3" t="s">
        <v>88</v>
      </c>
      <c r="L236" s="3" t="s">
        <v>24</v>
      </c>
      <c r="M236" s="5">
        <v>5501.24</v>
      </c>
      <c r="N236" s="11">
        <f t="shared" si="1"/>
        <v>6628</v>
      </c>
    </row>
    <row r="237">
      <c r="A237" s="3" t="s">
        <v>1400</v>
      </c>
      <c r="B237" s="3" t="s">
        <v>1401</v>
      </c>
      <c r="C237" s="4">
        <v>45145.0</v>
      </c>
      <c r="D237" s="10" t="s">
        <v>1403</v>
      </c>
      <c r="E237" s="3" t="s">
        <v>17</v>
      </c>
      <c r="F237" s="5">
        <v>8591.0</v>
      </c>
      <c r="G237" s="6">
        <v>2.0</v>
      </c>
      <c r="H237" s="7">
        <v>0.2</v>
      </c>
      <c r="I237" s="3" t="s">
        <v>65</v>
      </c>
      <c r="J237" s="3" t="s">
        <v>56</v>
      </c>
      <c r="K237" s="3" t="s">
        <v>81</v>
      </c>
      <c r="L237" s="3" t="s">
        <v>36</v>
      </c>
      <c r="M237" s="5">
        <v>13745.6</v>
      </c>
      <c r="N237" s="11">
        <f t="shared" si="1"/>
        <v>17182</v>
      </c>
    </row>
    <row r="238">
      <c r="A238" s="3" t="s">
        <v>1406</v>
      </c>
      <c r="B238" s="3" t="s">
        <v>1407</v>
      </c>
      <c r="C238" s="4">
        <v>45291.0</v>
      </c>
      <c r="D238" s="10" t="s">
        <v>1409</v>
      </c>
      <c r="E238" s="3" t="s">
        <v>52</v>
      </c>
      <c r="F238" s="5">
        <v>9579.0</v>
      </c>
      <c r="G238" s="6">
        <v>1.0</v>
      </c>
      <c r="H238" s="7">
        <v>0.11</v>
      </c>
      <c r="I238" s="3" t="s">
        <v>34</v>
      </c>
      <c r="J238" s="3" t="s">
        <v>45</v>
      </c>
      <c r="K238" s="3" t="s">
        <v>81</v>
      </c>
      <c r="L238" s="3" t="s">
        <v>24</v>
      </c>
      <c r="M238" s="5">
        <v>8525.31</v>
      </c>
      <c r="N238" s="11">
        <f t="shared" si="1"/>
        <v>9579</v>
      </c>
    </row>
    <row r="239">
      <c r="A239" s="3" t="s">
        <v>1412</v>
      </c>
      <c r="B239" s="3" t="s">
        <v>1413</v>
      </c>
      <c r="C239" s="4">
        <v>45186.0</v>
      </c>
      <c r="D239" s="10" t="s">
        <v>1414</v>
      </c>
      <c r="E239" s="3" t="s">
        <v>200</v>
      </c>
      <c r="F239" s="5">
        <v>4835.0</v>
      </c>
      <c r="G239" s="6">
        <v>3.0</v>
      </c>
      <c r="H239" s="7">
        <v>0.17</v>
      </c>
      <c r="I239" s="3" t="s">
        <v>34</v>
      </c>
      <c r="J239" s="3" t="s">
        <v>22</v>
      </c>
      <c r="K239" s="3" t="s">
        <v>35</v>
      </c>
      <c r="L239" s="3" t="s">
        <v>36</v>
      </c>
      <c r="M239" s="5">
        <v>12039.15</v>
      </c>
      <c r="N239" s="11">
        <f t="shared" si="1"/>
        <v>14505</v>
      </c>
    </row>
    <row r="240">
      <c r="A240" s="3" t="s">
        <v>1417</v>
      </c>
      <c r="B240" s="3" t="s">
        <v>1418</v>
      </c>
      <c r="C240" s="4">
        <v>45214.0</v>
      </c>
      <c r="D240" s="10" t="s">
        <v>1419</v>
      </c>
      <c r="E240" s="3" t="s">
        <v>52</v>
      </c>
      <c r="F240" s="5">
        <v>980.0</v>
      </c>
      <c r="G240" s="6">
        <v>2.0</v>
      </c>
      <c r="H240" s="7">
        <v>0.11</v>
      </c>
      <c r="I240" s="3" t="s">
        <v>55</v>
      </c>
      <c r="J240" s="3" t="s">
        <v>45</v>
      </c>
      <c r="K240" s="3" t="s">
        <v>121</v>
      </c>
      <c r="L240" s="3" t="s">
        <v>46</v>
      </c>
      <c r="M240" s="5">
        <v>1744.4</v>
      </c>
      <c r="N240" s="11">
        <f t="shared" si="1"/>
        <v>1960</v>
      </c>
    </row>
    <row r="241">
      <c r="A241" s="3" t="s">
        <v>1422</v>
      </c>
      <c r="B241" s="3" t="s">
        <v>1423</v>
      </c>
      <c r="C241" s="4">
        <v>45192.0</v>
      </c>
      <c r="D241" s="10" t="s">
        <v>1424</v>
      </c>
      <c r="E241" s="3" t="s">
        <v>42</v>
      </c>
      <c r="F241" s="5">
        <v>6947.0</v>
      </c>
      <c r="G241" s="6">
        <v>2.0</v>
      </c>
      <c r="H241" s="7">
        <v>0.14</v>
      </c>
      <c r="I241" s="3" t="s">
        <v>65</v>
      </c>
      <c r="J241" s="3" t="s">
        <v>73</v>
      </c>
      <c r="K241" s="3" t="s">
        <v>121</v>
      </c>
      <c r="L241" s="3" t="s">
        <v>46</v>
      </c>
      <c r="M241" s="5">
        <v>11948.84</v>
      </c>
      <c r="N241" s="11">
        <f t="shared" si="1"/>
        <v>13894</v>
      </c>
    </row>
    <row r="242">
      <c r="A242" s="3" t="s">
        <v>1427</v>
      </c>
      <c r="B242" s="3" t="s">
        <v>1428</v>
      </c>
      <c r="C242" s="4">
        <v>44954.0</v>
      </c>
      <c r="D242" s="10" t="s">
        <v>1429</v>
      </c>
      <c r="E242" s="3" t="s">
        <v>30</v>
      </c>
      <c r="F242" s="5">
        <v>2460.0</v>
      </c>
      <c r="G242" s="6">
        <v>3.0</v>
      </c>
      <c r="H242" s="7">
        <v>0.14</v>
      </c>
      <c r="I242" s="3" t="s">
        <v>65</v>
      </c>
      <c r="J242" s="3" t="s">
        <v>73</v>
      </c>
      <c r="K242" s="3" t="s">
        <v>23</v>
      </c>
      <c r="L242" s="3" t="s">
        <v>24</v>
      </c>
      <c r="M242" s="5">
        <v>6346.8</v>
      </c>
      <c r="N242" s="11">
        <f t="shared" si="1"/>
        <v>7380</v>
      </c>
    </row>
    <row r="243">
      <c r="A243" s="3" t="s">
        <v>1432</v>
      </c>
      <c r="B243" s="3" t="s">
        <v>1433</v>
      </c>
      <c r="C243" s="4">
        <v>45126.0</v>
      </c>
      <c r="D243" s="10" t="s">
        <v>1435</v>
      </c>
      <c r="E243" s="3" t="s">
        <v>17</v>
      </c>
      <c r="F243" s="5">
        <v>1795.0</v>
      </c>
      <c r="G243" s="6">
        <v>1.0</v>
      </c>
      <c r="H243" s="7">
        <v>0.05</v>
      </c>
      <c r="I243" s="3" t="s">
        <v>34</v>
      </c>
      <c r="J243" s="3" t="s">
        <v>45</v>
      </c>
      <c r="K243" s="3" t="s">
        <v>81</v>
      </c>
      <c r="L243" s="3" t="s">
        <v>24</v>
      </c>
      <c r="M243" s="5">
        <v>1705.25</v>
      </c>
      <c r="N243" s="11">
        <f t="shared" si="1"/>
        <v>1795</v>
      </c>
    </row>
    <row r="244">
      <c r="A244" s="3" t="s">
        <v>1438</v>
      </c>
      <c r="B244" s="3" t="s">
        <v>1439</v>
      </c>
      <c r="C244" s="4">
        <v>44988.0</v>
      </c>
      <c r="D244" s="10" t="s">
        <v>1441</v>
      </c>
      <c r="E244" s="3" t="s">
        <v>200</v>
      </c>
      <c r="F244" s="5">
        <v>8951.0</v>
      </c>
      <c r="G244" s="6">
        <v>1.0</v>
      </c>
      <c r="H244" s="7">
        <v>0.18</v>
      </c>
      <c r="I244" s="3" t="s">
        <v>21</v>
      </c>
      <c r="J244" s="3" t="s">
        <v>45</v>
      </c>
      <c r="K244" s="3" t="s">
        <v>88</v>
      </c>
      <c r="L244" s="3" t="s">
        <v>24</v>
      </c>
      <c r="M244" s="5">
        <v>7339.82</v>
      </c>
      <c r="N244" s="11">
        <f t="shared" si="1"/>
        <v>8951</v>
      </c>
    </row>
    <row r="245">
      <c r="A245" s="3" t="s">
        <v>1444</v>
      </c>
      <c r="B245" s="3" t="s">
        <v>1445</v>
      </c>
      <c r="C245" s="4">
        <v>45268.0</v>
      </c>
      <c r="D245" s="10" t="s">
        <v>1446</v>
      </c>
      <c r="E245" s="3" t="s">
        <v>42</v>
      </c>
      <c r="F245" s="5">
        <v>300.0</v>
      </c>
      <c r="G245" s="6">
        <v>2.0</v>
      </c>
      <c r="H245" s="7">
        <v>0.08</v>
      </c>
      <c r="I245" s="3" t="s">
        <v>34</v>
      </c>
      <c r="J245" s="3" t="s">
        <v>45</v>
      </c>
      <c r="K245" s="3" t="s">
        <v>121</v>
      </c>
      <c r="L245" s="3" t="s">
        <v>46</v>
      </c>
      <c r="M245" s="5">
        <v>552.0</v>
      </c>
      <c r="N245" s="11">
        <f t="shared" si="1"/>
        <v>600</v>
      </c>
    </row>
    <row r="246">
      <c r="A246" s="3" t="s">
        <v>1449</v>
      </c>
      <c r="B246" s="3" t="s">
        <v>1450</v>
      </c>
      <c r="C246" s="4">
        <v>45280.0</v>
      </c>
      <c r="D246" s="10" t="s">
        <v>1452</v>
      </c>
      <c r="E246" s="3" t="s">
        <v>30</v>
      </c>
      <c r="F246" s="5">
        <v>9090.0</v>
      </c>
      <c r="G246" s="6">
        <v>2.0</v>
      </c>
      <c r="H246" s="7">
        <v>0.2</v>
      </c>
      <c r="I246" s="3" t="s">
        <v>65</v>
      </c>
      <c r="J246" s="3" t="s">
        <v>56</v>
      </c>
      <c r="K246" s="3" t="s">
        <v>121</v>
      </c>
      <c r="L246" s="3" t="s">
        <v>46</v>
      </c>
      <c r="M246" s="5">
        <v>14544.0</v>
      </c>
      <c r="N246" s="11">
        <f t="shared" si="1"/>
        <v>18180</v>
      </c>
    </row>
    <row r="247">
      <c r="A247" s="3" t="s">
        <v>1455</v>
      </c>
      <c r="B247" s="3" t="s">
        <v>1456</v>
      </c>
      <c r="C247" s="4">
        <v>44971.0</v>
      </c>
      <c r="D247" s="10" t="s">
        <v>1458</v>
      </c>
      <c r="E247" s="3" t="s">
        <v>52</v>
      </c>
      <c r="F247" s="5">
        <v>4023.0</v>
      </c>
      <c r="G247" s="6">
        <v>3.0</v>
      </c>
      <c r="H247" s="7">
        <v>0.18</v>
      </c>
      <c r="I247" s="3" t="s">
        <v>55</v>
      </c>
      <c r="J247" s="3" t="s">
        <v>73</v>
      </c>
      <c r="K247" s="3" t="s">
        <v>88</v>
      </c>
      <c r="L247" s="3" t="s">
        <v>24</v>
      </c>
      <c r="M247" s="5">
        <v>9896.58</v>
      </c>
      <c r="N247" s="11">
        <f t="shared" si="1"/>
        <v>12069</v>
      </c>
    </row>
    <row r="248">
      <c r="A248" s="3" t="s">
        <v>1461</v>
      </c>
      <c r="B248" s="3" t="s">
        <v>1462</v>
      </c>
      <c r="C248" s="4">
        <v>45217.0</v>
      </c>
      <c r="D248" s="10" t="s">
        <v>1463</v>
      </c>
      <c r="E248" s="3" t="s">
        <v>17</v>
      </c>
      <c r="F248" s="5">
        <v>1133.0</v>
      </c>
      <c r="G248" s="6">
        <v>1.0</v>
      </c>
      <c r="H248" s="7">
        <v>0.07</v>
      </c>
      <c r="I248" s="3" t="s">
        <v>55</v>
      </c>
      <c r="J248" s="3" t="s">
        <v>22</v>
      </c>
      <c r="K248" s="3" t="s">
        <v>121</v>
      </c>
      <c r="L248" s="3" t="s">
        <v>46</v>
      </c>
      <c r="M248" s="5">
        <v>1053.69</v>
      </c>
      <c r="N248" s="11">
        <f t="shared" si="1"/>
        <v>1133</v>
      </c>
    </row>
    <row r="249">
      <c r="A249" s="3" t="s">
        <v>1466</v>
      </c>
      <c r="B249" s="3" t="s">
        <v>1467</v>
      </c>
      <c r="C249" s="4">
        <v>45015.0</v>
      </c>
      <c r="D249" s="10" t="s">
        <v>1468</v>
      </c>
      <c r="E249" s="3" t="s">
        <v>52</v>
      </c>
      <c r="F249" s="5">
        <v>8530.0</v>
      </c>
      <c r="G249" s="6">
        <v>1.0</v>
      </c>
      <c r="H249" s="7">
        <v>0.17</v>
      </c>
      <c r="I249" s="3" t="s">
        <v>21</v>
      </c>
      <c r="J249" s="3" t="s">
        <v>56</v>
      </c>
      <c r="K249" s="3" t="s">
        <v>81</v>
      </c>
      <c r="L249" s="3" t="s">
        <v>46</v>
      </c>
      <c r="M249" s="5">
        <v>7079.9</v>
      </c>
      <c r="N249" s="11">
        <f t="shared" si="1"/>
        <v>8530</v>
      </c>
    </row>
    <row r="250">
      <c r="A250" s="3" t="s">
        <v>1471</v>
      </c>
      <c r="B250" s="3" t="s">
        <v>1472</v>
      </c>
      <c r="C250" s="4">
        <v>44960.0</v>
      </c>
      <c r="D250" s="10" t="s">
        <v>1474</v>
      </c>
      <c r="E250" s="3" t="s">
        <v>200</v>
      </c>
      <c r="F250" s="5">
        <v>9826.0</v>
      </c>
      <c r="G250" s="6">
        <v>1.0</v>
      </c>
      <c r="H250" s="7">
        <v>0.18</v>
      </c>
      <c r="I250" s="3" t="s">
        <v>21</v>
      </c>
      <c r="J250" s="3" t="s">
        <v>45</v>
      </c>
      <c r="K250" s="3" t="s">
        <v>121</v>
      </c>
      <c r="L250" s="3" t="s">
        <v>46</v>
      </c>
      <c r="M250" s="5">
        <v>8057.32</v>
      </c>
      <c r="N250" s="11">
        <f t="shared" si="1"/>
        <v>9826</v>
      </c>
    </row>
    <row r="251">
      <c r="A251" s="3" t="s">
        <v>1477</v>
      </c>
      <c r="B251" s="3" t="s">
        <v>1478</v>
      </c>
      <c r="C251" s="4">
        <v>45060.0</v>
      </c>
      <c r="D251" s="10" t="s">
        <v>1480</v>
      </c>
      <c r="E251" s="3" t="s">
        <v>200</v>
      </c>
      <c r="F251" s="5">
        <v>835.0</v>
      </c>
      <c r="G251" s="6">
        <v>3.0</v>
      </c>
      <c r="H251" s="7">
        <v>0.14</v>
      </c>
      <c r="I251" s="3" t="s">
        <v>65</v>
      </c>
      <c r="J251" s="3" t="s">
        <v>45</v>
      </c>
      <c r="K251" s="3" t="s">
        <v>88</v>
      </c>
      <c r="L251" s="3" t="s">
        <v>46</v>
      </c>
      <c r="M251" s="5">
        <v>2154.3</v>
      </c>
      <c r="N251" s="11">
        <f t="shared" si="1"/>
        <v>2505</v>
      </c>
    </row>
    <row r="252">
      <c r="A252" s="3" t="s">
        <v>1483</v>
      </c>
      <c r="B252" s="3" t="s">
        <v>1484</v>
      </c>
      <c r="C252" s="4">
        <v>45159.0</v>
      </c>
      <c r="D252" s="10" t="s">
        <v>1486</v>
      </c>
      <c r="E252" s="3" t="s">
        <v>30</v>
      </c>
      <c r="F252" s="5">
        <v>8932.0</v>
      </c>
      <c r="G252" s="6">
        <v>3.0</v>
      </c>
      <c r="H252" s="7">
        <v>0.1</v>
      </c>
      <c r="I252" s="3" t="s">
        <v>65</v>
      </c>
      <c r="J252" s="3" t="s">
        <v>45</v>
      </c>
      <c r="K252" s="3" t="s">
        <v>121</v>
      </c>
      <c r="L252" s="3" t="s">
        <v>46</v>
      </c>
      <c r="M252" s="5">
        <v>24116.4</v>
      </c>
      <c r="N252" s="11">
        <f t="shared" si="1"/>
        <v>26796</v>
      </c>
    </row>
    <row r="253">
      <c r="A253" s="3" t="s">
        <v>1489</v>
      </c>
      <c r="B253" s="3" t="s">
        <v>1490</v>
      </c>
      <c r="C253" s="4">
        <v>45182.0</v>
      </c>
      <c r="D253" s="10" t="s">
        <v>1492</v>
      </c>
      <c r="E253" s="3" t="s">
        <v>42</v>
      </c>
      <c r="F253" s="5">
        <v>8890.0</v>
      </c>
      <c r="G253" s="6">
        <v>2.0</v>
      </c>
      <c r="H253" s="7">
        <v>0.1</v>
      </c>
      <c r="I253" s="3" t="s">
        <v>55</v>
      </c>
      <c r="J253" s="3" t="s">
        <v>73</v>
      </c>
      <c r="K253" s="3" t="s">
        <v>23</v>
      </c>
      <c r="L253" s="3" t="s">
        <v>46</v>
      </c>
      <c r="M253" s="5">
        <v>16002.0</v>
      </c>
      <c r="N253" s="11">
        <f t="shared" si="1"/>
        <v>17780</v>
      </c>
    </row>
    <row r="254">
      <c r="A254" s="3" t="s">
        <v>1494</v>
      </c>
      <c r="B254" s="3" t="s">
        <v>1495</v>
      </c>
      <c r="C254" s="4">
        <v>44963.0</v>
      </c>
      <c r="D254" s="10" t="s">
        <v>1496</v>
      </c>
      <c r="E254" s="3" t="s">
        <v>17</v>
      </c>
      <c r="F254" s="5">
        <v>9015.0</v>
      </c>
      <c r="G254" s="6">
        <v>4.0</v>
      </c>
      <c r="H254" s="7">
        <v>0.18</v>
      </c>
      <c r="I254" s="3" t="s">
        <v>34</v>
      </c>
      <c r="J254" s="3" t="s">
        <v>45</v>
      </c>
      <c r="K254" s="3" t="s">
        <v>121</v>
      </c>
      <c r="L254" s="3" t="s">
        <v>36</v>
      </c>
      <c r="M254" s="5">
        <v>29569.2</v>
      </c>
      <c r="N254" s="11">
        <f t="shared" si="1"/>
        <v>36060</v>
      </c>
    </row>
    <row r="255">
      <c r="A255" s="3" t="s">
        <v>1499</v>
      </c>
      <c r="B255" s="3" t="s">
        <v>1500</v>
      </c>
      <c r="C255" s="4">
        <v>45183.0</v>
      </c>
      <c r="D255" s="10" t="s">
        <v>1501</v>
      </c>
      <c r="E255" s="3" t="s">
        <v>17</v>
      </c>
      <c r="F255" s="5">
        <v>1389.0</v>
      </c>
      <c r="G255" s="6">
        <v>4.0</v>
      </c>
      <c r="H255" s="7">
        <v>0.06</v>
      </c>
      <c r="I255" s="3" t="s">
        <v>55</v>
      </c>
      <c r="J255" s="3" t="s">
        <v>73</v>
      </c>
      <c r="K255" s="3" t="s">
        <v>81</v>
      </c>
      <c r="L255" s="3" t="s">
        <v>46</v>
      </c>
      <c r="M255" s="5">
        <v>5222.64</v>
      </c>
      <c r="N255" s="11">
        <f t="shared" si="1"/>
        <v>5556</v>
      </c>
    </row>
    <row r="256">
      <c r="A256" s="3" t="s">
        <v>1504</v>
      </c>
      <c r="B256" s="3" t="s">
        <v>1505</v>
      </c>
      <c r="C256" s="4">
        <v>45217.0</v>
      </c>
      <c r="D256" s="10" t="s">
        <v>1506</v>
      </c>
      <c r="E256" s="3" t="s">
        <v>17</v>
      </c>
      <c r="F256" s="5">
        <v>1676.0</v>
      </c>
      <c r="G256" s="6">
        <v>2.0</v>
      </c>
      <c r="H256" s="7">
        <v>0.14</v>
      </c>
      <c r="I256" s="3" t="s">
        <v>55</v>
      </c>
      <c r="J256" s="3" t="s">
        <v>73</v>
      </c>
      <c r="K256" s="3" t="s">
        <v>121</v>
      </c>
      <c r="L256" s="3" t="s">
        <v>36</v>
      </c>
      <c r="M256" s="5">
        <v>2882.72</v>
      </c>
      <c r="N256" s="11">
        <f t="shared" si="1"/>
        <v>3352</v>
      </c>
    </row>
    <row r="257">
      <c r="A257" s="3" t="s">
        <v>1509</v>
      </c>
      <c r="B257" s="3" t="s">
        <v>1510</v>
      </c>
      <c r="C257" s="4">
        <v>45124.0</v>
      </c>
      <c r="D257" s="10" t="s">
        <v>1511</v>
      </c>
      <c r="E257" s="3" t="s">
        <v>200</v>
      </c>
      <c r="F257" s="5">
        <v>298.0</v>
      </c>
      <c r="G257" s="6">
        <v>2.0</v>
      </c>
      <c r="H257" s="7">
        <v>0.12</v>
      </c>
      <c r="I257" s="3" t="s">
        <v>34</v>
      </c>
      <c r="J257" s="3" t="s">
        <v>45</v>
      </c>
      <c r="K257" s="3" t="s">
        <v>35</v>
      </c>
      <c r="L257" s="3" t="s">
        <v>46</v>
      </c>
      <c r="M257" s="5">
        <v>524.48</v>
      </c>
      <c r="N257" s="11">
        <f t="shared" si="1"/>
        <v>596</v>
      </c>
    </row>
    <row r="258">
      <c r="A258" s="3" t="s">
        <v>1514</v>
      </c>
      <c r="B258" s="3" t="s">
        <v>1515</v>
      </c>
      <c r="C258" s="4">
        <v>45181.0</v>
      </c>
      <c r="D258" s="10" t="s">
        <v>1517</v>
      </c>
      <c r="E258" s="3" t="s">
        <v>30</v>
      </c>
      <c r="F258" s="5">
        <v>9701.0</v>
      </c>
      <c r="G258" s="6">
        <v>4.0</v>
      </c>
      <c r="H258" s="7">
        <v>0.07</v>
      </c>
      <c r="I258" s="3" t="s">
        <v>55</v>
      </c>
      <c r="J258" s="3" t="s">
        <v>22</v>
      </c>
      <c r="K258" s="3" t="s">
        <v>121</v>
      </c>
      <c r="L258" s="3" t="s">
        <v>24</v>
      </c>
      <c r="M258" s="5">
        <v>36087.72</v>
      </c>
      <c r="N258" s="11">
        <f t="shared" si="1"/>
        <v>38804</v>
      </c>
    </row>
    <row r="259">
      <c r="A259" s="3" t="s">
        <v>1520</v>
      </c>
      <c r="B259" s="3" t="s">
        <v>1521</v>
      </c>
      <c r="C259" s="4">
        <v>45007.0</v>
      </c>
      <c r="D259" s="10" t="s">
        <v>1522</v>
      </c>
      <c r="E259" s="3" t="s">
        <v>30</v>
      </c>
      <c r="F259" s="5">
        <v>4156.0</v>
      </c>
      <c r="G259" s="6">
        <v>2.0</v>
      </c>
      <c r="H259" s="7">
        <v>0.07</v>
      </c>
      <c r="I259" s="3" t="s">
        <v>65</v>
      </c>
      <c r="J259" s="3" t="s">
        <v>45</v>
      </c>
      <c r="K259" s="3" t="s">
        <v>121</v>
      </c>
      <c r="L259" s="3" t="s">
        <v>46</v>
      </c>
      <c r="M259" s="5">
        <v>7730.16</v>
      </c>
      <c r="N259" s="11">
        <f t="shared" si="1"/>
        <v>8312</v>
      </c>
    </row>
    <row r="260">
      <c r="A260" s="3" t="s">
        <v>1525</v>
      </c>
      <c r="B260" s="3" t="s">
        <v>1526</v>
      </c>
      <c r="C260" s="4">
        <v>45063.0</v>
      </c>
      <c r="D260" s="10" t="s">
        <v>1528</v>
      </c>
      <c r="E260" s="3" t="s">
        <v>30</v>
      </c>
      <c r="F260" s="5">
        <v>8998.0</v>
      </c>
      <c r="G260" s="6">
        <v>4.0</v>
      </c>
      <c r="H260" s="7">
        <v>0.11</v>
      </c>
      <c r="I260" s="3" t="s">
        <v>65</v>
      </c>
      <c r="J260" s="3" t="s">
        <v>73</v>
      </c>
      <c r="K260" s="3" t="s">
        <v>23</v>
      </c>
      <c r="L260" s="3" t="s">
        <v>46</v>
      </c>
      <c r="M260" s="5">
        <v>32032.88</v>
      </c>
      <c r="N260" s="11">
        <f t="shared" si="1"/>
        <v>35992</v>
      </c>
    </row>
    <row r="261">
      <c r="A261" s="3" t="s">
        <v>1531</v>
      </c>
      <c r="B261" s="3" t="s">
        <v>1532</v>
      </c>
      <c r="C261" s="4">
        <v>45116.0</v>
      </c>
      <c r="D261" s="10" t="s">
        <v>1533</v>
      </c>
      <c r="E261" s="3" t="s">
        <v>30</v>
      </c>
      <c r="F261" s="5">
        <v>3528.0</v>
      </c>
      <c r="G261" s="6">
        <v>1.0</v>
      </c>
      <c r="H261" s="7">
        <v>0.05</v>
      </c>
      <c r="I261" s="3" t="s">
        <v>34</v>
      </c>
      <c r="J261" s="3" t="s">
        <v>22</v>
      </c>
      <c r="K261" s="3" t="s">
        <v>23</v>
      </c>
      <c r="L261" s="3" t="s">
        <v>36</v>
      </c>
      <c r="M261" s="5">
        <v>3351.6</v>
      </c>
      <c r="N261" s="11">
        <f t="shared" si="1"/>
        <v>3528</v>
      </c>
    </row>
    <row r="262">
      <c r="A262" s="3" t="s">
        <v>1536</v>
      </c>
      <c r="B262" s="3" t="s">
        <v>1537</v>
      </c>
      <c r="C262" s="4">
        <v>45056.0</v>
      </c>
      <c r="D262" s="10" t="s">
        <v>1538</v>
      </c>
      <c r="E262" s="3" t="s">
        <v>17</v>
      </c>
      <c r="F262" s="5">
        <v>8269.0</v>
      </c>
      <c r="G262" s="6">
        <v>1.0</v>
      </c>
      <c r="H262" s="7">
        <v>0.06</v>
      </c>
      <c r="I262" s="3" t="s">
        <v>34</v>
      </c>
      <c r="J262" s="3" t="s">
        <v>73</v>
      </c>
      <c r="K262" s="3" t="s">
        <v>81</v>
      </c>
      <c r="L262" s="3" t="s">
        <v>36</v>
      </c>
      <c r="M262" s="5">
        <v>7772.86</v>
      </c>
      <c r="N262" s="11">
        <f t="shared" si="1"/>
        <v>8269</v>
      </c>
    </row>
    <row r="263">
      <c r="A263" s="3" t="s">
        <v>1541</v>
      </c>
      <c r="B263" s="3" t="s">
        <v>1542</v>
      </c>
      <c r="C263" s="4">
        <v>45136.0</v>
      </c>
      <c r="D263" s="10" t="s">
        <v>1543</v>
      </c>
      <c r="E263" s="3" t="s">
        <v>30</v>
      </c>
      <c r="F263" s="5">
        <v>1172.0</v>
      </c>
      <c r="G263" s="6">
        <v>1.0</v>
      </c>
      <c r="H263" s="7">
        <v>0.16</v>
      </c>
      <c r="I263" s="3" t="s">
        <v>55</v>
      </c>
      <c r="J263" s="3" t="s">
        <v>56</v>
      </c>
      <c r="K263" s="3" t="s">
        <v>81</v>
      </c>
      <c r="L263" s="3" t="s">
        <v>36</v>
      </c>
      <c r="M263" s="5">
        <v>984.48</v>
      </c>
      <c r="N263" s="11">
        <f t="shared" si="1"/>
        <v>1172</v>
      </c>
    </row>
    <row r="264">
      <c r="A264" s="3" t="s">
        <v>1545</v>
      </c>
      <c r="B264" s="3" t="s">
        <v>1546</v>
      </c>
      <c r="C264" s="4">
        <v>45218.0</v>
      </c>
      <c r="D264" s="10" t="s">
        <v>1547</v>
      </c>
      <c r="E264" s="3" t="s">
        <v>52</v>
      </c>
      <c r="F264" s="5">
        <v>6842.0</v>
      </c>
      <c r="G264" s="6">
        <v>1.0</v>
      </c>
      <c r="H264" s="7">
        <v>0.07</v>
      </c>
      <c r="I264" s="3" t="s">
        <v>21</v>
      </c>
      <c r="J264" s="3" t="s">
        <v>22</v>
      </c>
      <c r="K264" s="3" t="s">
        <v>81</v>
      </c>
      <c r="L264" s="3" t="s">
        <v>36</v>
      </c>
      <c r="M264" s="5">
        <v>6363.06</v>
      </c>
      <c r="N264" s="11">
        <f t="shared" si="1"/>
        <v>6842</v>
      </c>
    </row>
    <row r="265">
      <c r="A265" s="3" t="s">
        <v>1550</v>
      </c>
      <c r="B265" s="3" t="s">
        <v>1551</v>
      </c>
      <c r="C265" s="4">
        <v>45274.0</v>
      </c>
      <c r="D265" s="10" t="s">
        <v>1553</v>
      </c>
      <c r="E265" s="3" t="s">
        <v>42</v>
      </c>
      <c r="F265" s="5">
        <v>4330.0</v>
      </c>
      <c r="G265" s="6">
        <v>3.0</v>
      </c>
      <c r="H265" s="7">
        <v>0.17</v>
      </c>
      <c r="I265" s="3" t="s">
        <v>21</v>
      </c>
      <c r="J265" s="3" t="s">
        <v>73</v>
      </c>
      <c r="K265" s="3" t="s">
        <v>121</v>
      </c>
      <c r="L265" s="3" t="s">
        <v>24</v>
      </c>
      <c r="M265" s="5">
        <v>10781.7</v>
      </c>
      <c r="N265" s="11">
        <f t="shared" si="1"/>
        <v>12990</v>
      </c>
    </row>
    <row r="266">
      <c r="A266" s="3" t="s">
        <v>1556</v>
      </c>
      <c r="B266" s="3" t="s">
        <v>1557</v>
      </c>
      <c r="C266" s="4">
        <v>45095.0</v>
      </c>
      <c r="D266" s="10" t="s">
        <v>1559</v>
      </c>
      <c r="E266" s="3" t="s">
        <v>52</v>
      </c>
      <c r="F266" s="5">
        <v>9838.0</v>
      </c>
      <c r="G266" s="6">
        <v>3.0</v>
      </c>
      <c r="H266" s="7">
        <v>0.06</v>
      </c>
      <c r="I266" s="3" t="s">
        <v>65</v>
      </c>
      <c r="J266" s="3" t="s">
        <v>22</v>
      </c>
      <c r="K266" s="3" t="s">
        <v>81</v>
      </c>
      <c r="L266" s="3" t="s">
        <v>24</v>
      </c>
      <c r="M266" s="5">
        <v>27743.16</v>
      </c>
      <c r="N266" s="11">
        <f t="shared" si="1"/>
        <v>29514</v>
      </c>
    </row>
    <row r="267">
      <c r="A267" s="3" t="s">
        <v>1562</v>
      </c>
      <c r="B267" s="3" t="s">
        <v>1563</v>
      </c>
      <c r="C267" s="4">
        <v>45219.0</v>
      </c>
      <c r="D267" s="10" t="s">
        <v>1564</v>
      </c>
      <c r="E267" s="3" t="s">
        <v>42</v>
      </c>
      <c r="F267" s="5">
        <v>6069.0</v>
      </c>
      <c r="G267" s="6">
        <v>1.0</v>
      </c>
      <c r="H267" s="7">
        <v>0.07</v>
      </c>
      <c r="I267" s="3" t="s">
        <v>34</v>
      </c>
      <c r="J267" s="3" t="s">
        <v>73</v>
      </c>
      <c r="K267" s="3" t="s">
        <v>81</v>
      </c>
      <c r="L267" s="3" t="s">
        <v>24</v>
      </c>
      <c r="M267" s="5">
        <v>5644.17</v>
      </c>
      <c r="N267" s="11">
        <f t="shared" si="1"/>
        <v>6069</v>
      </c>
    </row>
    <row r="268">
      <c r="A268" s="3" t="s">
        <v>1567</v>
      </c>
      <c r="B268" s="3" t="s">
        <v>1568</v>
      </c>
      <c r="C268" s="4">
        <v>45103.0</v>
      </c>
      <c r="D268" s="10" t="s">
        <v>1570</v>
      </c>
      <c r="E268" s="3" t="s">
        <v>200</v>
      </c>
      <c r="F268" s="5">
        <v>9662.0</v>
      </c>
      <c r="G268" s="6">
        <v>2.0</v>
      </c>
      <c r="H268" s="7">
        <v>0.13</v>
      </c>
      <c r="I268" s="3" t="s">
        <v>55</v>
      </c>
      <c r="J268" s="3" t="s">
        <v>56</v>
      </c>
      <c r="K268" s="3" t="s">
        <v>35</v>
      </c>
      <c r="L268" s="3" t="s">
        <v>36</v>
      </c>
      <c r="M268" s="5">
        <v>16811.88</v>
      </c>
      <c r="N268" s="11">
        <f t="shared" si="1"/>
        <v>19324</v>
      </c>
    </row>
    <row r="269">
      <c r="A269" s="3" t="s">
        <v>1573</v>
      </c>
      <c r="B269" s="3" t="s">
        <v>1574</v>
      </c>
      <c r="C269" s="4">
        <v>44952.0</v>
      </c>
      <c r="D269" s="10" t="s">
        <v>1575</v>
      </c>
      <c r="E269" s="3" t="s">
        <v>200</v>
      </c>
      <c r="F269" s="5">
        <v>4907.0</v>
      </c>
      <c r="G269" s="6">
        <v>1.0</v>
      </c>
      <c r="H269" s="7">
        <v>0.05</v>
      </c>
      <c r="I269" s="3" t="s">
        <v>55</v>
      </c>
      <c r="J269" s="3" t="s">
        <v>45</v>
      </c>
      <c r="K269" s="3" t="s">
        <v>88</v>
      </c>
      <c r="L269" s="3" t="s">
        <v>36</v>
      </c>
      <c r="M269" s="5">
        <v>4661.65</v>
      </c>
      <c r="N269" s="11">
        <f t="shared" si="1"/>
        <v>4907</v>
      </c>
    </row>
    <row r="270">
      <c r="A270" s="3" t="s">
        <v>1578</v>
      </c>
      <c r="B270" s="3" t="s">
        <v>1579</v>
      </c>
      <c r="C270" s="4">
        <v>45250.0</v>
      </c>
      <c r="D270" s="10" t="s">
        <v>1580</v>
      </c>
      <c r="E270" s="3" t="s">
        <v>52</v>
      </c>
      <c r="F270" s="5">
        <v>1244.0</v>
      </c>
      <c r="G270" s="6">
        <v>2.0</v>
      </c>
      <c r="H270" s="7">
        <v>0.05</v>
      </c>
      <c r="I270" s="3" t="s">
        <v>65</v>
      </c>
      <c r="J270" s="3" t="s">
        <v>45</v>
      </c>
      <c r="K270" s="3" t="s">
        <v>88</v>
      </c>
      <c r="L270" s="3" t="s">
        <v>24</v>
      </c>
      <c r="M270" s="5">
        <v>2363.6</v>
      </c>
      <c r="N270" s="11">
        <f t="shared" si="1"/>
        <v>2488</v>
      </c>
    </row>
    <row r="271">
      <c r="A271" s="3" t="s">
        <v>1583</v>
      </c>
      <c r="B271" s="3" t="s">
        <v>1584</v>
      </c>
      <c r="C271" s="4">
        <v>45286.0</v>
      </c>
      <c r="D271" s="10" t="s">
        <v>1585</v>
      </c>
      <c r="E271" s="3" t="s">
        <v>30</v>
      </c>
      <c r="F271" s="5">
        <v>1761.0</v>
      </c>
      <c r="G271" s="6">
        <v>3.0</v>
      </c>
      <c r="H271" s="7">
        <v>0.16</v>
      </c>
      <c r="I271" s="3" t="s">
        <v>65</v>
      </c>
      <c r="J271" s="3" t="s">
        <v>45</v>
      </c>
      <c r="K271" s="3" t="s">
        <v>35</v>
      </c>
      <c r="L271" s="3" t="s">
        <v>24</v>
      </c>
      <c r="M271" s="5">
        <v>4437.72</v>
      </c>
      <c r="N271" s="11">
        <f t="shared" si="1"/>
        <v>5283</v>
      </c>
    </row>
    <row r="272">
      <c r="A272" s="3" t="s">
        <v>1588</v>
      </c>
      <c r="B272" s="3" t="s">
        <v>1589</v>
      </c>
      <c r="C272" s="4">
        <v>45218.0</v>
      </c>
      <c r="D272" s="10" t="s">
        <v>1590</v>
      </c>
      <c r="E272" s="3" t="s">
        <v>30</v>
      </c>
      <c r="F272" s="5">
        <v>8562.0</v>
      </c>
      <c r="G272" s="6">
        <v>4.0</v>
      </c>
      <c r="H272" s="7">
        <v>0.17</v>
      </c>
      <c r="I272" s="3" t="s">
        <v>55</v>
      </c>
      <c r="J272" s="3" t="s">
        <v>73</v>
      </c>
      <c r="K272" s="3" t="s">
        <v>88</v>
      </c>
      <c r="L272" s="3" t="s">
        <v>46</v>
      </c>
      <c r="M272" s="5">
        <v>28425.84</v>
      </c>
      <c r="N272" s="11">
        <f t="shared" si="1"/>
        <v>34248</v>
      </c>
    </row>
    <row r="273">
      <c r="A273" s="3" t="s">
        <v>1593</v>
      </c>
      <c r="B273" s="3" t="s">
        <v>1594</v>
      </c>
      <c r="C273" s="4">
        <v>45041.0</v>
      </c>
      <c r="D273" s="10" t="s">
        <v>1596</v>
      </c>
      <c r="E273" s="3" t="s">
        <v>52</v>
      </c>
      <c r="F273" s="5">
        <v>6922.0</v>
      </c>
      <c r="G273" s="6">
        <v>3.0</v>
      </c>
      <c r="H273" s="7">
        <v>0.1</v>
      </c>
      <c r="I273" s="3" t="s">
        <v>65</v>
      </c>
      <c r="J273" s="3" t="s">
        <v>56</v>
      </c>
      <c r="K273" s="3" t="s">
        <v>81</v>
      </c>
      <c r="L273" s="3" t="s">
        <v>36</v>
      </c>
      <c r="M273" s="5">
        <v>18689.4</v>
      </c>
      <c r="N273" s="11">
        <f t="shared" si="1"/>
        <v>20766</v>
      </c>
    </row>
    <row r="274">
      <c r="A274" s="3" t="s">
        <v>1599</v>
      </c>
      <c r="B274" s="3" t="s">
        <v>1600</v>
      </c>
      <c r="C274" s="4">
        <v>45213.0</v>
      </c>
      <c r="D274" s="10" t="s">
        <v>1601</v>
      </c>
      <c r="E274" s="3" t="s">
        <v>30</v>
      </c>
      <c r="F274" s="5">
        <v>6585.0</v>
      </c>
      <c r="G274" s="6">
        <v>4.0</v>
      </c>
      <c r="H274" s="7">
        <v>0.2</v>
      </c>
      <c r="I274" s="3" t="s">
        <v>55</v>
      </c>
      <c r="J274" s="3" t="s">
        <v>45</v>
      </c>
      <c r="K274" s="3" t="s">
        <v>35</v>
      </c>
      <c r="L274" s="3" t="s">
        <v>36</v>
      </c>
      <c r="M274" s="5">
        <v>21072.0</v>
      </c>
      <c r="N274" s="11">
        <f t="shared" si="1"/>
        <v>26340</v>
      </c>
    </row>
    <row r="275">
      <c r="A275" s="3" t="s">
        <v>1604</v>
      </c>
      <c r="B275" s="3" t="s">
        <v>1605</v>
      </c>
      <c r="C275" s="4">
        <v>44956.0</v>
      </c>
      <c r="D275" s="10" t="s">
        <v>1606</v>
      </c>
      <c r="E275" s="3" t="s">
        <v>200</v>
      </c>
      <c r="F275" s="5">
        <v>3180.0</v>
      </c>
      <c r="G275" s="6">
        <v>2.0</v>
      </c>
      <c r="H275" s="7">
        <v>0.14</v>
      </c>
      <c r="I275" s="3" t="s">
        <v>55</v>
      </c>
      <c r="J275" s="3" t="s">
        <v>56</v>
      </c>
      <c r="K275" s="3" t="s">
        <v>23</v>
      </c>
      <c r="L275" s="3" t="s">
        <v>36</v>
      </c>
      <c r="M275" s="5">
        <v>5469.6</v>
      </c>
      <c r="N275" s="11">
        <f t="shared" si="1"/>
        <v>6360</v>
      </c>
    </row>
    <row r="276">
      <c r="A276" s="3" t="s">
        <v>1609</v>
      </c>
      <c r="B276" s="3" t="s">
        <v>1610</v>
      </c>
      <c r="C276" s="4">
        <v>45168.0</v>
      </c>
      <c r="D276" s="10" t="s">
        <v>1612</v>
      </c>
      <c r="E276" s="3" t="s">
        <v>200</v>
      </c>
      <c r="F276" s="5">
        <v>4102.0</v>
      </c>
      <c r="G276" s="6">
        <v>1.0</v>
      </c>
      <c r="H276" s="7">
        <v>0.08</v>
      </c>
      <c r="I276" s="3" t="s">
        <v>65</v>
      </c>
      <c r="J276" s="3" t="s">
        <v>73</v>
      </c>
      <c r="K276" s="3" t="s">
        <v>88</v>
      </c>
      <c r="L276" s="3" t="s">
        <v>24</v>
      </c>
      <c r="M276" s="5">
        <v>3773.84</v>
      </c>
      <c r="N276" s="11">
        <f t="shared" si="1"/>
        <v>4102</v>
      </c>
    </row>
    <row r="277">
      <c r="A277" s="3" t="s">
        <v>1615</v>
      </c>
      <c r="B277" s="3" t="s">
        <v>1616</v>
      </c>
      <c r="C277" s="4">
        <v>45216.0</v>
      </c>
      <c r="D277" s="10" t="s">
        <v>1618</v>
      </c>
      <c r="E277" s="3" t="s">
        <v>17</v>
      </c>
      <c r="F277" s="5">
        <v>2033.0</v>
      </c>
      <c r="G277" s="6">
        <v>4.0</v>
      </c>
      <c r="H277" s="7">
        <v>0.14</v>
      </c>
      <c r="I277" s="3" t="s">
        <v>65</v>
      </c>
      <c r="J277" s="3" t="s">
        <v>22</v>
      </c>
      <c r="K277" s="3" t="s">
        <v>81</v>
      </c>
      <c r="L277" s="3" t="s">
        <v>24</v>
      </c>
      <c r="M277" s="5">
        <v>6993.52</v>
      </c>
      <c r="N277" s="11">
        <f t="shared" si="1"/>
        <v>8132</v>
      </c>
    </row>
    <row r="278">
      <c r="A278" s="3" t="s">
        <v>1621</v>
      </c>
      <c r="B278" s="3" t="s">
        <v>1622</v>
      </c>
      <c r="C278" s="4">
        <v>45073.0</v>
      </c>
      <c r="D278" s="10" t="s">
        <v>1624</v>
      </c>
      <c r="E278" s="3" t="s">
        <v>52</v>
      </c>
      <c r="F278" s="5">
        <v>710.0</v>
      </c>
      <c r="G278" s="6">
        <v>4.0</v>
      </c>
      <c r="H278" s="7">
        <v>0.08</v>
      </c>
      <c r="I278" s="3" t="s">
        <v>21</v>
      </c>
      <c r="J278" s="3" t="s">
        <v>56</v>
      </c>
      <c r="K278" s="3" t="s">
        <v>23</v>
      </c>
      <c r="L278" s="3" t="s">
        <v>36</v>
      </c>
      <c r="M278" s="5">
        <v>2612.8</v>
      </c>
      <c r="N278" s="11">
        <f t="shared" si="1"/>
        <v>2840</v>
      </c>
    </row>
    <row r="279">
      <c r="A279" s="3" t="s">
        <v>1627</v>
      </c>
      <c r="B279" s="3" t="s">
        <v>1628</v>
      </c>
      <c r="C279" s="4">
        <v>45200.0</v>
      </c>
      <c r="D279" s="10" t="s">
        <v>1629</v>
      </c>
      <c r="E279" s="3" t="s">
        <v>52</v>
      </c>
      <c r="F279" s="5">
        <v>7253.0</v>
      </c>
      <c r="G279" s="6">
        <v>1.0</v>
      </c>
      <c r="H279" s="7">
        <v>0.1</v>
      </c>
      <c r="I279" s="3" t="s">
        <v>21</v>
      </c>
      <c r="J279" s="3" t="s">
        <v>45</v>
      </c>
      <c r="K279" s="3" t="s">
        <v>88</v>
      </c>
      <c r="L279" s="3" t="s">
        <v>36</v>
      </c>
      <c r="M279" s="5">
        <v>6527.7</v>
      </c>
      <c r="N279" s="11">
        <f t="shared" si="1"/>
        <v>7253</v>
      </c>
    </row>
    <row r="280">
      <c r="A280" s="3" t="s">
        <v>1632</v>
      </c>
      <c r="B280" s="3" t="s">
        <v>1633</v>
      </c>
      <c r="C280" s="4">
        <v>45148.0</v>
      </c>
      <c r="D280" s="10" t="s">
        <v>1635</v>
      </c>
      <c r="E280" s="3" t="s">
        <v>42</v>
      </c>
      <c r="F280" s="5">
        <v>4730.0</v>
      </c>
      <c r="G280" s="6">
        <v>2.0</v>
      </c>
      <c r="H280" s="7">
        <v>0.19</v>
      </c>
      <c r="I280" s="3" t="s">
        <v>65</v>
      </c>
      <c r="J280" s="3" t="s">
        <v>22</v>
      </c>
      <c r="K280" s="3" t="s">
        <v>81</v>
      </c>
      <c r="L280" s="3" t="s">
        <v>24</v>
      </c>
      <c r="M280" s="5">
        <v>7662.6</v>
      </c>
      <c r="N280" s="11">
        <f t="shared" si="1"/>
        <v>9460</v>
      </c>
    </row>
    <row r="281">
      <c r="A281" s="3" t="s">
        <v>1638</v>
      </c>
      <c r="B281" s="3" t="s">
        <v>1639</v>
      </c>
      <c r="C281" s="4">
        <v>45267.0</v>
      </c>
      <c r="D281" s="10" t="s">
        <v>1641</v>
      </c>
      <c r="E281" s="3" t="s">
        <v>52</v>
      </c>
      <c r="F281" s="5">
        <v>5384.0</v>
      </c>
      <c r="G281" s="6">
        <v>1.0</v>
      </c>
      <c r="H281" s="7">
        <v>0.11</v>
      </c>
      <c r="I281" s="3" t="s">
        <v>21</v>
      </c>
      <c r="J281" s="3" t="s">
        <v>45</v>
      </c>
      <c r="K281" s="3" t="s">
        <v>23</v>
      </c>
      <c r="L281" s="3" t="s">
        <v>36</v>
      </c>
      <c r="M281" s="5">
        <v>4791.76</v>
      </c>
      <c r="N281" s="11">
        <f t="shared" si="1"/>
        <v>5384</v>
      </c>
    </row>
    <row r="282">
      <c r="A282" s="3" t="s">
        <v>1644</v>
      </c>
      <c r="B282" s="3" t="s">
        <v>1645</v>
      </c>
      <c r="C282" s="4">
        <v>44929.0</v>
      </c>
      <c r="D282" s="10" t="s">
        <v>1647</v>
      </c>
      <c r="E282" s="3" t="s">
        <v>42</v>
      </c>
      <c r="F282" s="5">
        <v>135.0</v>
      </c>
      <c r="G282" s="6">
        <v>1.0</v>
      </c>
      <c r="H282" s="7">
        <v>0.16</v>
      </c>
      <c r="I282" s="3" t="s">
        <v>21</v>
      </c>
      <c r="J282" s="3" t="s">
        <v>56</v>
      </c>
      <c r="K282" s="3" t="s">
        <v>35</v>
      </c>
      <c r="L282" s="3" t="s">
        <v>36</v>
      </c>
      <c r="M282" s="5">
        <v>113.4</v>
      </c>
      <c r="N282" s="11">
        <f t="shared" si="1"/>
        <v>135</v>
      </c>
    </row>
    <row r="283">
      <c r="A283" s="3" t="s">
        <v>1650</v>
      </c>
      <c r="B283" s="3" t="s">
        <v>1651</v>
      </c>
      <c r="C283" s="4">
        <v>44996.0</v>
      </c>
      <c r="D283" s="10" t="s">
        <v>1652</v>
      </c>
      <c r="E283" s="3" t="s">
        <v>52</v>
      </c>
      <c r="F283" s="5">
        <v>6096.0</v>
      </c>
      <c r="G283" s="6">
        <v>3.0</v>
      </c>
      <c r="H283" s="7">
        <v>0.05</v>
      </c>
      <c r="I283" s="3" t="s">
        <v>21</v>
      </c>
      <c r="J283" s="3" t="s">
        <v>56</v>
      </c>
      <c r="K283" s="3" t="s">
        <v>23</v>
      </c>
      <c r="L283" s="3" t="s">
        <v>46</v>
      </c>
      <c r="M283" s="5">
        <v>17373.6</v>
      </c>
      <c r="N283" s="11">
        <f t="shared" si="1"/>
        <v>18288</v>
      </c>
    </row>
    <row r="284">
      <c r="A284" s="3" t="s">
        <v>1655</v>
      </c>
      <c r="B284" s="3" t="s">
        <v>1656</v>
      </c>
      <c r="C284" s="4">
        <v>45284.0</v>
      </c>
      <c r="D284" s="10" t="s">
        <v>1658</v>
      </c>
      <c r="E284" s="3" t="s">
        <v>200</v>
      </c>
      <c r="F284" s="5">
        <v>7467.0</v>
      </c>
      <c r="G284" s="6">
        <v>2.0</v>
      </c>
      <c r="H284" s="7">
        <v>0.09</v>
      </c>
      <c r="I284" s="3" t="s">
        <v>65</v>
      </c>
      <c r="J284" s="3" t="s">
        <v>73</v>
      </c>
      <c r="K284" s="3" t="s">
        <v>121</v>
      </c>
      <c r="L284" s="3" t="s">
        <v>46</v>
      </c>
      <c r="M284" s="5">
        <v>13589.94</v>
      </c>
      <c r="N284" s="11">
        <f t="shared" si="1"/>
        <v>14934</v>
      </c>
    </row>
    <row r="285">
      <c r="A285" s="3" t="s">
        <v>1661</v>
      </c>
      <c r="B285" s="3" t="s">
        <v>1662</v>
      </c>
      <c r="C285" s="4">
        <v>44971.0</v>
      </c>
      <c r="D285" s="10" t="s">
        <v>1663</v>
      </c>
      <c r="E285" s="3" t="s">
        <v>200</v>
      </c>
      <c r="F285" s="5">
        <v>1394.0</v>
      </c>
      <c r="G285" s="6">
        <v>4.0</v>
      </c>
      <c r="H285" s="7">
        <v>0.08</v>
      </c>
      <c r="I285" s="3" t="s">
        <v>21</v>
      </c>
      <c r="J285" s="3" t="s">
        <v>45</v>
      </c>
      <c r="K285" s="3" t="s">
        <v>23</v>
      </c>
      <c r="L285" s="3" t="s">
        <v>24</v>
      </c>
      <c r="M285" s="5">
        <v>5129.92</v>
      </c>
      <c r="N285" s="11">
        <f t="shared" si="1"/>
        <v>5576</v>
      </c>
    </row>
    <row r="286">
      <c r="A286" s="3" t="s">
        <v>1666</v>
      </c>
      <c r="B286" s="3" t="s">
        <v>1667</v>
      </c>
      <c r="C286" s="4">
        <v>45180.0</v>
      </c>
      <c r="D286" s="10" t="s">
        <v>1669</v>
      </c>
      <c r="E286" s="3" t="s">
        <v>42</v>
      </c>
      <c r="F286" s="5">
        <v>5769.0</v>
      </c>
      <c r="G286" s="6">
        <v>1.0</v>
      </c>
      <c r="H286" s="7">
        <v>0.05</v>
      </c>
      <c r="I286" s="3" t="s">
        <v>21</v>
      </c>
      <c r="J286" s="3" t="s">
        <v>73</v>
      </c>
      <c r="K286" s="3" t="s">
        <v>88</v>
      </c>
      <c r="L286" s="3" t="s">
        <v>46</v>
      </c>
      <c r="M286" s="5">
        <v>5480.55</v>
      </c>
      <c r="N286" s="11">
        <f t="shared" si="1"/>
        <v>5769</v>
      </c>
    </row>
    <row r="287">
      <c r="A287" s="3" t="s">
        <v>1672</v>
      </c>
      <c r="B287" s="3" t="s">
        <v>1673</v>
      </c>
      <c r="C287" s="4">
        <v>45249.0</v>
      </c>
      <c r="D287" s="10" t="s">
        <v>1675</v>
      </c>
      <c r="E287" s="3" t="s">
        <v>200</v>
      </c>
      <c r="F287" s="5">
        <v>9317.0</v>
      </c>
      <c r="G287" s="6">
        <v>3.0</v>
      </c>
      <c r="H287" s="7">
        <v>0.17</v>
      </c>
      <c r="I287" s="3" t="s">
        <v>34</v>
      </c>
      <c r="J287" s="3" t="s">
        <v>22</v>
      </c>
      <c r="K287" s="3" t="s">
        <v>88</v>
      </c>
      <c r="L287" s="3" t="s">
        <v>46</v>
      </c>
      <c r="M287" s="5">
        <v>23199.33</v>
      </c>
      <c r="N287" s="11">
        <f t="shared" si="1"/>
        <v>27951</v>
      </c>
    </row>
    <row r="288">
      <c r="A288" s="3" t="s">
        <v>1678</v>
      </c>
      <c r="B288" s="3" t="s">
        <v>1679</v>
      </c>
      <c r="C288" s="4">
        <v>45038.0</v>
      </c>
      <c r="D288" s="10" t="s">
        <v>1680</v>
      </c>
      <c r="E288" s="3" t="s">
        <v>42</v>
      </c>
      <c r="F288" s="5">
        <v>5020.0</v>
      </c>
      <c r="G288" s="6">
        <v>4.0</v>
      </c>
      <c r="H288" s="7">
        <v>0.07</v>
      </c>
      <c r="I288" s="3" t="s">
        <v>55</v>
      </c>
      <c r="J288" s="3" t="s">
        <v>56</v>
      </c>
      <c r="K288" s="3" t="s">
        <v>88</v>
      </c>
      <c r="L288" s="3" t="s">
        <v>36</v>
      </c>
      <c r="M288" s="5">
        <v>18674.4</v>
      </c>
      <c r="N288" s="11">
        <f t="shared" si="1"/>
        <v>20080</v>
      </c>
    </row>
    <row r="289">
      <c r="A289" s="3" t="s">
        <v>1683</v>
      </c>
      <c r="B289" s="3" t="s">
        <v>1684</v>
      </c>
      <c r="C289" s="4">
        <v>45018.0</v>
      </c>
      <c r="D289" s="10" t="s">
        <v>1685</v>
      </c>
      <c r="E289" s="3" t="s">
        <v>52</v>
      </c>
      <c r="F289" s="5">
        <v>1384.0</v>
      </c>
      <c r="G289" s="6">
        <v>1.0</v>
      </c>
      <c r="H289" s="7">
        <v>0.16</v>
      </c>
      <c r="I289" s="3" t="s">
        <v>34</v>
      </c>
      <c r="J289" s="3" t="s">
        <v>73</v>
      </c>
      <c r="K289" s="3" t="s">
        <v>81</v>
      </c>
      <c r="L289" s="3" t="s">
        <v>46</v>
      </c>
      <c r="M289" s="5">
        <v>1162.56</v>
      </c>
      <c r="N289" s="11">
        <f t="shared" si="1"/>
        <v>1384</v>
      </c>
    </row>
    <row r="290">
      <c r="A290" s="3" t="s">
        <v>1688</v>
      </c>
      <c r="B290" s="3" t="s">
        <v>1689</v>
      </c>
      <c r="C290" s="4">
        <v>45268.0</v>
      </c>
      <c r="D290" s="10" t="s">
        <v>1690</v>
      </c>
      <c r="E290" s="3" t="s">
        <v>42</v>
      </c>
      <c r="F290" s="5">
        <v>6663.0</v>
      </c>
      <c r="G290" s="6">
        <v>1.0</v>
      </c>
      <c r="H290" s="7">
        <v>0.19</v>
      </c>
      <c r="I290" s="3" t="s">
        <v>21</v>
      </c>
      <c r="J290" s="3" t="s">
        <v>56</v>
      </c>
      <c r="K290" s="3" t="s">
        <v>88</v>
      </c>
      <c r="L290" s="3" t="s">
        <v>24</v>
      </c>
      <c r="M290" s="5">
        <v>5397.03</v>
      </c>
      <c r="N290" s="11">
        <f t="shared" si="1"/>
        <v>6663</v>
      </c>
    </row>
    <row r="291">
      <c r="A291" s="3" t="s">
        <v>1693</v>
      </c>
      <c r="B291" s="3" t="s">
        <v>1694</v>
      </c>
      <c r="C291" s="4">
        <v>44966.0</v>
      </c>
      <c r="D291" s="10" t="s">
        <v>1695</v>
      </c>
      <c r="E291" s="3" t="s">
        <v>200</v>
      </c>
      <c r="F291" s="5">
        <v>6183.0</v>
      </c>
      <c r="G291" s="6">
        <v>2.0</v>
      </c>
      <c r="H291" s="7">
        <v>0.08</v>
      </c>
      <c r="I291" s="3" t="s">
        <v>55</v>
      </c>
      <c r="J291" s="3" t="s">
        <v>56</v>
      </c>
      <c r="K291" s="3" t="s">
        <v>88</v>
      </c>
      <c r="L291" s="3" t="s">
        <v>46</v>
      </c>
      <c r="M291" s="5">
        <v>11376.72</v>
      </c>
      <c r="N291" s="11">
        <f t="shared" si="1"/>
        <v>12366</v>
      </c>
    </row>
    <row r="292">
      <c r="A292" s="3" t="s">
        <v>1698</v>
      </c>
      <c r="B292" s="3" t="s">
        <v>1699</v>
      </c>
      <c r="C292" s="4">
        <v>45077.0</v>
      </c>
      <c r="D292" s="10" t="s">
        <v>1701</v>
      </c>
      <c r="E292" s="3" t="s">
        <v>17</v>
      </c>
      <c r="F292" s="5">
        <v>2510.0</v>
      </c>
      <c r="G292" s="6">
        <v>1.0</v>
      </c>
      <c r="H292" s="7">
        <v>0.1</v>
      </c>
      <c r="I292" s="3" t="s">
        <v>55</v>
      </c>
      <c r="J292" s="3" t="s">
        <v>45</v>
      </c>
      <c r="K292" s="3" t="s">
        <v>81</v>
      </c>
      <c r="L292" s="3" t="s">
        <v>24</v>
      </c>
      <c r="M292" s="5">
        <v>2259.0</v>
      </c>
      <c r="N292" s="11">
        <f t="shared" si="1"/>
        <v>2510</v>
      </c>
    </row>
    <row r="293">
      <c r="A293" s="3" t="s">
        <v>1704</v>
      </c>
      <c r="B293" s="3" t="s">
        <v>1705</v>
      </c>
      <c r="C293" s="4">
        <v>45072.0</v>
      </c>
      <c r="D293" s="10" t="s">
        <v>1707</v>
      </c>
      <c r="E293" s="3" t="s">
        <v>42</v>
      </c>
      <c r="F293" s="5">
        <v>5294.0</v>
      </c>
      <c r="G293" s="6">
        <v>4.0</v>
      </c>
      <c r="H293" s="7">
        <v>0.12</v>
      </c>
      <c r="I293" s="3" t="s">
        <v>21</v>
      </c>
      <c r="J293" s="3" t="s">
        <v>73</v>
      </c>
      <c r="K293" s="3" t="s">
        <v>88</v>
      </c>
      <c r="L293" s="3" t="s">
        <v>36</v>
      </c>
      <c r="M293" s="5">
        <v>18634.88</v>
      </c>
      <c r="N293" s="11">
        <f t="shared" si="1"/>
        <v>21176</v>
      </c>
    </row>
    <row r="294">
      <c r="A294" s="3" t="s">
        <v>1710</v>
      </c>
      <c r="B294" s="3" t="s">
        <v>1711</v>
      </c>
      <c r="C294" s="4">
        <v>45125.0</v>
      </c>
      <c r="D294" s="10" t="s">
        <v>1713</v>
      </c>
      <c r="E294" s="3" t="s">
        <v>17</v>
      </c>
      <c r="F294" s="5">
        <v>4369.0</v>
      </c>
      <c r="G294" s="6">
        <v>4.0</v>
      </c>
      <c r="H294" s="7">
        <v>0.05</v>
      </c>
      <c r="I294" s="3" t="s">
        <v>55</v>
      </c>
      <c r="J294" s="3" t="s">
        <v>56</v>
      </c>
      <c r="K294" s="3" t="s">
        <v>81</v>
      </c>
      <c r="L294" s="3" t="s">
        <v>46</v>
      </c>
      <c r="M294" s="5">
        <v>16602.2</v>
      </c>
      <c r="N294" s="11">
        <f t="shared" si="1"/>
        <v>17476</v>
      </c>
    </row>
    <row r="295">
      <c r="A295" s="3" t="s">
        <v>1716</v>
      </c>
      <c r="B295" s="3" t="s">
        <v>1717</v>
      </c>
      <c r="C295" s="4">
        <v>45201.0</v>
      </c>
      <c r="D295" s="10" t="s">
        <v>1718</v>
      </c>
      <c r="E295" s="3" t="s">
        <v>17</v>
      </c>
      <c r="F295" s="5">
        <v>8192.0</v>
      </c>
      <c r="G295" s="6">
        <v>3.0</v>
      </c>
      <c r="H295" s="7">
        <v>0.18</v>
      </c>
      <c r="I295" s="3" t="s">
        <v>34</v>
      </c>
      <c r="J295" s="3" t="s">
        <v>22</v>
      </c>
      <c r="K295" s="3" t="s">
        <v>35</v>
      </c>
      <c r="L295" s="3" t="s">
        <v>36</v>
      </c>
      <c r="M295" s="5">
        <v>20152.32</v>
      </c>
      <c r="N295" s="11">
        <f t="shared" si="1"/>
        <v>24576</v>
      </c>
    </row>
    <row r="296">
      <c r="A296" s="3" t="s">
        <v>1721</v>
      </c>
      <c r="B296" s="3" t="s">
        <v>1722</v>
      </c>
      <c r="C296" s="4">
        <v>45275.0</v>
      </c>
      <c r="D296" s="10" t="s">
        <v>1724</v>
      </c>
      <c r="E296" s="3" t="s">
        <v>52</v>
      </c>
      <c r="F296" s="5">
        <v>5796.0</v>
      </c>
      <c r="G296" s="6">
        <v>1.0</v>
      </c>
      <c r="H296" s="7">
        <v>0.09</v>
      </c>
      <c r="I296" s="3" t="s">
        <v>65</v>
      </c>
      <c r="J296" s="3" t="s">
        <v>56</v>
      </c>
      <c r="K296" s="3" t="s">
        <v>88</v>
      </c>
      <c r="L296" s="3" t="s">
        <v>36</v>
      </c>
      <c r="M296" s="5">
        <v>5274.36</v>
      </c>
      <c r="N296" s="11">
        <f t="shared" si="1"/>
        <v>5796</v>
      </c>
    </row>
    <row r="297">
      <c r="A297" s="3" t="s">
        <v>1727</v>
      </c>
      <c r="B297" s="3" t="s">
        <v>1728</v>
      </c>
      <c r="C297" s="4">
        <v>44970.0</v>
      </c>
      <c r="D297" s="10" t="s">
        <v>1729</v>
      </c>
      <c r="E297" s="3" t="s">
        <v>42</v>
      </c>
      <c r="F297" s="5">
        <v>5366.0</v>
      </c>
      <c r="G297" s="6">
        <v>4.0</v>
      </c>
      <c r="H297" s="7">
        <v>0.15</v>
      </c>
      <c r="I297" s="3" t="s">
        <v>55</v>
      </c>
      <c r="J297" s="3" t="s">
        <v>22</v>
      </c>
      <c r="K297" s="3" t="s">
        <v>88</v>
      </c>
      <c r="L297" s="3" t="s">
        <v>36</v>
      </c>
      <c r="M297" s="5">
        <v>18244.4</v>
      </c>
      <c r="N297" s="11">
        <f t="shared" si="1"/>
        <v>21464</v>
      </c>
    </row>
    <row r="298">
      <c r="A298" s="3" t="s">
        <v>1732</v>
      </c>
      <c r="B298" s="3" t="s">
        <v>1733</v>
      </c>
      <c r="C298" s="4">
        <v>45010.0</v>
      </c>
      <c r="D298" s="10" t="s">
        <v>1734</v>
      </c>
      <c r="E298" s="3" t="s">
        <v>30</v>
      </c>
      <c r="F298" s="5">
        <v>167.0</v>
      </c>
      <c r="G298" s="6">
        <v>2.0</v>
      </c>
      <c r="H298" s="7">
        <v>0.08</v>
      </c>
      <c r="I298" s="3" t="s">
        <v>55</v>
      </c>
      <c r="J298" s="3" t="s">
        <v>56</v>
      </c>
      <c r="K298" s="3" t="s">
        <v>23</v>
      </c>
      <c r="L298" s="3" t="s">
        <v>46</v>
      </c>
      <c r="M298" s="5">
        <v>307.28</v>
      </c>
      <c r="N298" s="11">
        <f t="shared" si="1"/>
        <v>334</v>
      </c>
    </row>
    <row r="299">
      <c r="A299" s="3" t="s">
        <v>1737</v>
      </c>
      <c r="B299" s="3" t="s">
        <v>1738</v>
      </c>
      <c r="C299" s="4">
        <v>45224.0</v>
      </c>
      <c r="D299" s="10" t="s">
        <v>1739</v>
      </c>
      <c r="E299" s="3" t="s">
        <v>42</v>
      </c>
      <c r="F299" s="5">
        <v>6923.0</v>
      </c>
      <c r="G299" s="6">
        <v>4.0</v>
      </c>
      <c r="H299" s="7">
        <v>0.08</v>
      </c>
      <c r="I299" s="3" t="s">
        <v>55</v>
      </c>
      <c r="J299" s="3" t="s">
        <v>73</v>
      </c>
      <c r="K299" s="3" t="s">
        <v>35</v>
      </c>
      <c r="L299" s="3" t="s">
        <v>24</v>
      </c>
      <c r="M299" s="5">
        <v>25476.64</v>
      </c>
      <c r="N299" s="11">
        <f t="shared" si="1"/>
        <v>27692</v>
      </c>
    </row>
    <row r="300">
      <c r="A300" s="3" t="s">
        <v>1742</v>
      </c>
      <c r="B300" s="3" t="s">
        <v>1743</v>
      </c>
      <c r="C300" s="4">
        <v>45020.0</v>
      </c>
      <c r="D300" s="10" t="s">
        <v>1745</v>
      </c>
      <c r="E300" s="3" t="s">
        <v>52</v>
      </c>
      <c r="F300" s="5">
        <v>1470.0</v>
      </c>
      <c r="G300" s="6">
        <v>1.0</v>
      </c>
      <c r="H300" s="7">
        <v>0.14</v>
      </c>
      <c r="I300" s="3" t="s">
        <v>65</v>
      </c>
      <c r="J300" s="3" t="s">
        <v>56</v>
      </c>
      <c r="K300" s="3" t="s">
        <v>35</v>
      </c>
      <c r="L300" s="3" t="s">
        <v>24</v>
      </c>
      <c r="M300" s="5">
        <v>1264.2</v>
      </c>
      <c r="N300" s="11">
        <f t="shared" si="1"/>
        <v>1470</v>
      </c>
    </row>
    <row r="301">
      <c r="A301" s="3" t="s">
        <v>1748</v>
      </c>
      <c r="B301" s="3" t="s">
        <v>1749</v>
      </c>
      <c r="C301" s="4">
        <v>45101.0</v>
      </c>
      <c r="D301" s="10" t="s">
        <v>1750</v>
      </c>
      <c r="E301" s="3" t="s">
        <v>30</v>
      </c>
      <c r="F301" s="5">
        <v>4806.0</v>
      </c>
      <c r="G301" s="6">
        <v>1.0</v>
      </c>
      <c r="H301" s="7">
        <v>0.18</v>
      </c>
      <c r="I301" s="3" t="s">
        <v>65</v>
      </c>
      <c r="J301" s="3" t="s">
        <v>56</v>
      </c>
      <c r="K301" s="3" t="s">
        <v>23</v>
      </c>
      <c r="L301" s="3" t="s">
        <v>24</v>
      </c>
      <c r="M301" s="5">
        <v>3940.92</v>
      </c>
      <c r="N301" s="11">
        <f t="shared" si="1"/>
        <v>4806</v>
      </c>
    </row>
    <row r="302">
      <c r="A302" s="3" t="s">
        <v>1753</v>
      </c>
      <c r="B302" s="3" t="s">
        <v>1754</v>
      </c>
      <c r="C302" s="4">
        <v>45128.0</v>
      </c>
      <c r="D302" s="10" t="s">
        <v>1755</v>
      </c>
      <c r="E302" s="3" t="s">
        <v>17</v>
      </c>
      <c r="F302" s="5">
        <v>3623.0</v>
      </c>
      <c r="G302" s="6">
        <v>2.0</v>
      </c>
      <c r="H302" s="7">
        <v>0.2</v>
      </c>
      <c r="I302" s="3" t="s">
        <v>65</v>
      </c>
      <c r="J302" s="3" t="s">
        <v>56</v>
      </c>
      <c r="K302" s="3" t="s">
        <v>81</v>
      </c>
      <c r="L302" s="3" t="s">
        <v>46</v>
      </c>
      <c r="M302" s="5">
        <v>5796.8</v>
      </c>
      <c r="N302" s="11">
        <f t="shared" si="1"/>
        <v>7246</v>
      </c>
    </row>
    <row r="303">
      <c r="A303" s="3" t="s">
        <v>1758</v>
      </c>
      <c r="B303" s="3" t="s">
        <v>1759</v>
      </c>
      <c r="C303" s="4">
        <v>45272.0</v>
      </c>
      <c r="D303" s="10" t="s">
        <v>1761</v>
      </c>
      <c r="E303" s="3" t="s">
        <v>17</v>
      </c>
      <c r="F303" s="5">
        <v>5899.0</v>
      </c>
      <c r="G303" s="6">
        <v>1.0</v>
      </c>
      <c r="H303" s="7">
        <v>0.18</v>
      </c>
      <c r="I303" s="3" t="s">
        <v>55</v>
      </c>
      <c r="J303" s="3" t="s">
        <v>73</v>
      </c>
      <c r="K303" s="3" t="s">
        <v>121</v>
      </c>
      <c r="L303" s="3" t="s">
        <v>36</v>
      </c>
      <c r="M303" s="5">
        <v>4837.18</v>
      </c>
      <c r="N303" s="11">
        <f t="shared" si="1"/>
        <v>5899</v>
      </c>
    </row>
    <row r="304">
      <c r="A304" s="3" t="s">
        <v>1764</v>
      </c>
      <c r="B304" s="3" t="s">
        <v>1765</v>
      </c>
      <c r="C304" s="4">
        <v>45256.0</v>
      </c>
      <c r="D304" s="10" t="s">
        <v>1767</v>
      </c>
      <c r="E304" s="3" t="s">
        <v>30</v>
      </c>
      <c r="F304" s="5">
        <v>6957.0</v>
      </c>
      <c r="G304" s="6">
        <v>1.0</v>
      </c>
      <c r="H304" s="7">
        <v>0.1</v>
      </c>
      <c r="I304" s="3" t="s">
        <v>21</v>
      </c>
      <c r="J304" s="3" t="s">
        <v>73</v>
      </c>
      <c r="K304" s="3" t="s">
        <v>81</v>
      </c>
      <c r="L304" s="3" t="s">
        <v>36</v>
      </c>
      <c r="M304" s="5">
        <v>6261.3</v>
      </c>
      <c r="N304" s="11">
        <f t="shared" si="1"/>
        <v>6957</v>
      </c>
    </row>
    <row r="305">
      <c r="A305" s="3" t="s">
        <v>1770</v>
      </c>
      <c r="B305" s="3" t="s">
        <v>1771</v>
      </c>
      <c r="C305" s="4">
        <v>44955.0</v>
      </c>
      <c r="D305" s="10" t="s">
        <v>1772</v>
      </c>
      <c r="E305" s="3" t="s">
        <v>52</v>
      </c>
      <c r="F305" s="5">
        <v>554.0</v>
      </c>
      <c r="G305" s="6">
        <v>2.0</v>
      </c>
      <c r="H305" s="7">
        <v>0.13</v>
      </c>
      <c r="I305" s="3" t="s">
        <v>34</v>
      </c>
      <c r="J305" s="3" t="s">
        <v>73</v>
      </c>
      <c r="K305" s="3" t="s">
        <v>121</v>
      </c>
      <c r="L305" s="3" t="s">
        <v>24</v>
      </c>
      <c r="M305" s="5">
        <v>963.96</v>
      </c>
      <c r="N305" s="11">
        <f t="shared" si="1"/>
        <v>1108</v>
      </c>
    </row>
    <row r="306">
      <c r="A306" s="3" t="s">
        <v>1775</v>
      </c>
      <c r="B306" s="3" t="s">
        <v>1776</v>
      </c>
      <c r="C306" s="4">
        <v>45136.0</v>
      </c>
      <c r="D306" s="10" t="s">
        <v>1777</v>
      </c>
      <c r="E306" s="3" t="s">
        <v>17</v>
      </c>
      <c r="F306" s="5">
        <v>5522.0</v>
      </c>
      <c r="G306" s="6">
        <v>4.0</v>
      </c>
      <c r="H306" s="7">
        <v>0.13</v>
      </c>
      <c r="I306" s="3" t="s">
        <v>55</v>
      </c>
      <c r="J306" s="3" t="s">
        <v>56</v>
      </c>
      <c r="K306" s="3" t="s">
        <v>81</v>
      </c>
      <c r="L306" s="3" t="s">
        <v>46</v>
      </c>
      <c r="M306" s="5">
        <v>19216.56</v>
      </c>
      <c r="N306" s="11">
        <f t="shared" si="1"/>
        <v>22088</v>
      </c>
    </row>
    <row r="307">
      <c r="A307" s="3" t="s">
        <v>1780</v>
      </c>
      <c r="B307" s="3" t="s">
        <v>1781</v>
      </c>
      <c r="C307" s="4">
        <v>45032.0</v>
      </c>
      <c r="D307" s="10" t="s">
        <v>1782</v>
      </c>
      <c r="E307" s="3" t="s">
        <v>30</v>
      </c>
      <c r="F307" s="5">
        <v>4845.0</v>
      </c>
      <c r="G307" s="6">
        <v>1.0</v>
      </c>
      <c r="H307" s="7">
        <v>0.08</v>
      </c>
      <c r="I307" s="3" t="s">
        <v>55</v>
      </c>
      <c r="J307" s="3" t="s">
        <v>56</v>
      </c>
      <c r="K307" s="3" t="s">
        <v>81</v>
      </c>
      <c r="L307" s="3" t="s">
        <v>36</v>
      </c>
      <c r="M307" s="5">
        <v>4457.4</v>
      </c>
      <c r="N307" s="11">
        <f t="shared" si="1"/>
        <v>4845</v>
      </c>
    </row>
    <row r="308">
      <c r="A308" s="3" t="s">
        <v>1785</v>
      </c>
      <c r="B308" s="3" t="s">
        <v>1786</v>
      </c>
      <c r="C308" s="4">
        <v>44990.0</v>
      </c>
      <c r="D308" s="10" t="s">
        <v>1788</v>
      </c>
      <c r="E308" s="3" t="s">
        <v>200</v>
      </c>
      <c r="F308" s="5">
        <v>2150.0</v>
      </c>
      <c r="G308" s="6">
        <v>3.0</v>
      </c>
      <c r="H308" s="7">
        <v>0.2</v>
      </c>
      <c r="I308" s="3" t="s">
        <v>21</v>
      </c>
      <c r="J308" s="3" t="s">
        <v>56</v>
      </c>
      <c r="K308" s="3" t="s">
        <v>35</v>
      </c>
      <c r="L308" s="3" t="s">
        <v>36</v>
      </c>
      <c r="M308" s="5">
        <v>5160.0</v>
      </c>
      <c r="N308" s="11">
        <f t="shared" si="1"/>
        <v>6450</v>
      </c>
    </row>
    <row r="309">
      <c r="A309" s="3" t="s">
        <v>1791</v>
      </c>
      <c r="B309" s="3" t="s">
        <v>1792</v>
      </c>
      <c r="C309" s="4">
        <v>44943.0</v>
      </c>
      <c r="D309" s="10" t="s">
        <v>1793</v>
      </c>
      <c r="E309" s="3" t="s">
        <v>200</v>
      </c>
      <c r="F309" s="5">
        <v>6220.0</v>
      </c>
      <c r="G309" s="6">
        <v>1.0</v>
      </c>
      <c r="H309" s="7">
        <v>0.13</v>
      </c>
      <c r="I309" s="3" t="s">
        <v>21</v>
      </c>
      <c r="J309" s="3" t="s">
        <v>56</v>
      </c>
      <c r="K309" s="3" t="s">
        <v>121</v>
      </c>
      <c r="L309" s="3" t="s">
        <v>36</v>
      </c>
      <c r="M309" s="5">
        <v>5411.4</v>
      </c>
      <c r="N309" s="11">
        <f t="shared" si="1"/>
        <v>6220</v>
      </c>
    </row>
    <row r="310">
      <c r="A310" s="3" t="s">
        <v>1796</v>
      </c>
      <c r="B310" s="3" t="s">
        <v>1797</v>
      </c>
      <c r="C310" s="4">
        <v>45033.0</v>
      </c>
      <c r="D310" s="10" t="s">
        <v>1799</v>
      </c>
      <c r="E310" s="3" t="s">
        <v>30</v>
      </c>
      <c r="F310" s="5">
        <v>4682.0</v>
      </c>
      <c r="G310" s="6">
        <v>1.0</v>
      </c>
      <c r="H310" s="7">
        <v>0.11</v>
      </c>
      <c r="I310" s="3" t="s">
        <v>34</v>
      </c>
      <c r="J310" s="3" t="s">
        <v>45</v>
      </c>
      <c r="K310" s="3" t="s">
        <v>88</v>
      </c>
      <c r="L310" s="3" t="s">
        <v>46</v>
      </c>
      <c r="M310" s="5">
        <v>4166.98</v>
      </c>
      <c r="N310" s="11">
        <f t="shared" si="1"/>
        <v>4682</v>
      </c>
    </row>
    <row r="311">
      <c r="A311" s="3" t="s">
        <v>1802</v>
      </c>
      <c r="B311" s="3" t="s">
        <v>1803</v>
      </c>
      <c r="C311" s="4">
        <v>45091.0</v>
      </c>
      <c r="D311" s="10" t="s">
        <v>1805</v>
      </c>
      <c r="E311" s="3" t="s">
        <v>200</v>
      </c>
      <c r="F311" s="5">
        <v>5975.0</v>
      </c>
      <c r="G311" s="6">
        <v>2.0</v>
      </c>
      <c r="H311" s="7">
        <v>0.11</v>
      </c>
      <c r="I311" s="3" t="s">
        <v>65</v>
      </c>
      <c r="J311" s="3" t="s">
        <v>45</v>
      </c>
      <c r="K311" s="3" t="s">
        <v>23</v>
      </c>
      <c r="L311" s="3" t="s">
        <v>36</v>
      </c>
      <c r="M311" s="5">
        <v>10635.5</v>
      </c>
      <c r="N311" s="11">
        <f t="shared" si="1"/>
        <v>11950</v>
      </c>
    </row>
    <row r="312">
      <c r="A312" s="3" t="s">
        <v>1808</v>
      </c>
      <c r="B312" s="3" t="s">
        <v>1809</v>
      </c>
      <c r="C312" s="4">
        <v>45021.0</v>
      </c>
      <c r="D312" s="10" t="s">
        <v>1810</v>
      </c>
      <c r="E312" s="3" t="s">
        <v>200</v>
      </c>
      <c r="F312" s="5">
        <v>7809.0</v>
      </c>
      <c r="G312" s="6">
        <v>2.0</v>
      </c>
      <c r="H312" s="7">
        <v>0.07</v>
      </c>
      <c r="I312" s="3" t="s">
        <v>65</v>
      </c>
      <c r="J312" s="3" t="s">
        <v>73</v>
      </c>
      <c r="K312" s="3" t="s">
        <v>88</v>
      </c>
      <c r="L312" s="3" t="s">
        <v>36</v>
      </c>
      <c r="M312" s="5">
        <v>14524.74</v>
      </c>
      <c r="N312" s="11">
        <f t="shared" si="1"/>
        <v>15618</v>
      </c>
    </row>
    <row r="313">
      <c r="A313" s="3" t="s">
        <v>1813</v>
      </c>
      <c r="B313" s="3" t="s">
        <v>1814</v>
      </c>
      <c r="C313" s="4">
        <v>44951.0</v>
      </c>
      <c r="D313" s="10" t="s">
        <v>1815</v>
      </c>
      <c r="E313" s="3" t="s">
        <v>52</v>
      </c>
      <c r="F313" s="5">
        <v>5095.0</v>
      </c>
      <c r="G313" s="6">
        <v>2.0</v>
      </c>
      <c r="H313" s="7">
        <v>0.2</v>
      </c>
      <c r="I313" s="3" t="s">
        <v>21</v>
      </c>
      <c r="J313" s="3" t="s">
        <v>56</v>
      </c>
      <c r="K313" s="3" t="s">
        <v>81</v>
      </c>
      <c r="L313" s="3" t="s">
        <v>24</v>
      </c>
      <c r="M313" s="5">
        <v>8152.0</v>
      </c>
      <c r="N313" s="11">
        <f t="shared" si="1"/>
        <v>10190</v>
      </c>
    </row>
    <row r="314">
      <c r="A314" s="3" t="s">
        <v>1818</v>
      </c>
      <c r="B314" s="3" t="s">
        <v>1819</v>
      </c>
      <c r="C314" s="4">
        <v>45043.0</v>
      </c>
      <c r="D314" s="10" t="s">
        <v>1821</v>
      </c>
      <c r="E314" s="3" t="s">
        <v>42</v>
      </c>
      <c r="F314" s="5">
        <v>4076.0</v>
      </c>
      <c r="G314" s="6">
        <v>2.0</v>
      </c>
      <c r="H314" s="7">
        <v>0.07</v>
      </c>
      <c r="I314" s="3" t="s">
        <v>55</v>
      </c>
      <c r="J314" s="3" t="s">
        <v>45</v>
      </c>
      <c r="K314" s="3" t="s">
        <v>35</v>
      </c>
      <c r="L314" s="3" t="s">
        <v>24</v>
      </c>
      <c r="M314" s="5">
        <v>7581.36</v>
      </c>
      <c r="N314" s="11">
        <f t="shared" si="1"/>
        <v>8152</v>
      </c>
    </row>
    <row r="315">
      <c r="A315" s="3" t="s">
        <v>1824</v>
      </c>
      <c r="B315" s="3" t="s">
        <v>1825</v>
      </c>
      <c r="C315" s="4">
        <v>45118.0</v>
      </c>
      <c r="D315" s="10" t="s">
        <v>1827</v>
      </c>
      <c r="E315" s="3" t="s">
        <v>42</v>
      </c>
      <c r="F315" s="5">
        <v>4895.0</v>
      </c>
      <c r="G315" s="6">
        <v>1.0</v>
      </c>
      <c r="H315" s="7">
        <v>0.19</v>
      </c>
      <c r="I315" s="3" t="s">
        <v>34</v>
      </c>
      <c r="J315" s="3" t="s">
        <v>56</v>
      </c>
      <c r="K315" s="3" t="s">
        <v>121</v>
      </c>
      <c r="L315" s="3" t="s">
        <v>46</v>
      </c>
      <c r="M315" s="5">
        <v>3964.95</v>
      </c>
      <c r="N315" s="11">
        <f t="shared" si="1"/>
        <v>4895</v>
      </c>
    </row>
    <row r="316">
      <c r="A316" s="3" t="s">
        <v>1830</v>
      </c>
      <c r="B316" s="3" t="s">
        <v>1831</v>
      </c>
      <c r="C316" s="4">
        <v>45122.0</v>
      </c>
      <c r="D316" s="10" t="s">
        <v>1832</v>
      </c>
      <c r="E316" s="3" t="s">
        <v>42</v>
      </c>
      <c r="F316" s="5">
        <v>3553.0</v>
      </c>
      <c r="G316" s="6">
        <v>3.0</v>
      </c>
      <c r="H316" s="7">
        <v>0.1</v>
      </c>
      <c r="I316" s="3" t="s">
        <v>34</v>
      </c>
      <c r="J316" s="3" t="s">
        <v>56</v>
      </c>
      <c r="K316" s="3" t="s">
        <v>35</v>
      </c>
      <c r="L316" s="3" t="s">
        <v>46</v>
      </c>
      <c r="M316" s="5">
        <v>9593.1</v>
      </c>
      <c r="N316" s="11">
        <f t="shared" si="1"/>
        <v>10659</v>
      </c>
    </row>
    <row r="317">
      <c r="A317" s="3" t="s">
        <v>1835</v>
      </c>
      <c r="B317" s="3" t="s">
        <v>1836</v>
      </c>
      <c r="C317" s="4">
        <v>45234.0</v>
      </c>
      <c r="D317" s="10" t="s">
        <v>1837</v>
      </c>
      <c r="E317" s="3" t="s">
        <v>42</v>
      </c>
      <c r="F317" s="5">
        <v>3727.0</v>
      </c>
      <c r="G317" s="6">
        <v>4.0</v>
      </c>
      <c r="H317" s="7">
        <v>0.16</v>
      </c>
      <c r="I317" s="3" t="s">
        <v>21</v>
      </c>
      <c r="J317" s="3" t="s">
        <v>22</v>
      </c>
      <c r="K317" s="3" t="s">
        <v>81</v>
      </c>
      <c r="L317" s="3" t="s">
        <v>46</v>
      </c>
      <c r="M317" s="5">
        <v>12522.72</v>
      </c>
      <c r="N317" s="11">
        <f t="shared" si="1"/>
        <v>14908</v>
      </c>
    </row>
    <row r="318">
      <c r="A318" s="3" t="s">
        <v>1840</v>
      </c>
      <c r="B318" s="3" t="s">
        <v>1841</v>
      </c>
      <c r="C318" s="4">
        <v>45063.0</v>
      </c>
      <c r="D318" s="10" t="s">
        <v>1842</v>
      </c>
      <c r="E318" s="3" t="s">
        <v>30</v>
      </c>
      <c r="F318" s="5">
        <v>9198.0</v>
      </c>
      <c r="G318" s="6">
        <v>3.0</v>
      </c>
      <c r="H318" s="7">
        <v>0.07</v>
      </c>
      <c r="I318" s="3" t="s">
        <v>21</v>
      </c>
      <c r="J318" s="3" t="s">
        <v>73</v>
      </c>
      <c r="K318" s="3" t="s">
        <v>23</v>
      </c>
      <c r="L318" s="3" t="s">
        <v>46</v>
      </c>
      <c r="M318" s="5">
        <v>25662.42</v>
      </c>
      <c r="N318" s="11">
        <f t="shared" si="1"/>
        <v>27594</v>
      </c>
    </row>
    <row r="319">
      <c r="A319" s="3" t="s">
        <v>1845</v>
      </c>
      <c r="B319" s="3" t="s">
        <v>1846</v>
      </c>
      <c r="C319" s="4">
        <v>45274.0</v>
      </c>
      <c r="D319" s="10" t="s">
        <v>1847</v>
      </c>
      <c r="E319" s="3" t="s">
        <v>42</v>
      </c>
      <c r="F319" s="5">
        <v>7098.0</v>
      </c>
      <c r="G319" s="6">
        <v>3.0</v>
      </c>
      <c r="H319" s="7">
        <v>0.07</v>
      </c>
      <c r="I319" s="3" t="s">
        <v>34</v>
      </c>
      <c r="J319" s="3" t="s">
        <v>73</v>
      </c>
      <c r="K319" s="3" t="s">
        <v>81</v>
      </c>
      <c r="L319" s="3" t="s">
        <v>36</v>
      </c>
      <c r="M319" s="5">
        <v>19803.42</v>
      </c>
      <c r="N319" s="11">
        <f t="shared" si="1"/>
        <v>21294</v>
      </c>
    </row>
    <row r="320">
      <c r="A320" s="3" t="s">
        <v>1850</v>
      </c>
      <c r="B320" s="3" t="s">
        <v>1851</v>
      </c>
      <c r="C320" s="4">
        <v>45020.0</v>
      </c>
      <c r="D320" s="10" t="s">
        <v>1852</v>
      </c>
      <c r="E320" s="3" t="s">
        <v>52</v>
      </c>
      <c r="F320" s="5">
        <v>533.0</v>
      </c>
      <c r="G320" s="6">
        <v>2.0</v>
      </c>
      <c r="H320" s="7">
        <v>0.1</v>
      </c>
      <c r="I320" s="3" t="s">
        <v>21</v>
      </c>
      <c r="J320" s="3" t="s">
        <v>22</v>
      </c>
      <c r="K320" s="3" t="s">
        <v>35</v>
      </c>
      <c r="L320" s="3" t="s">
        <v>36</v>
      </c>
      <c r="M320" s="5">
        <v>959.4</v>
      </c>
      <c r="N320" s="11">
        <f t="shared" si="1"/>
        <v>1066</v>
      </c>
    </row>
    <row r="321">
      <c r="A321" s="3" t="s">
        <v>1855</v>
      </c>
      <c r="B321" s="3" t="s">
        <v>1856</v>
      </c>
      <c r="C321" s="4">
        <v>45165.0</v>
      </c>
      <c r="D321" s="10" t="s">
        <v>1858</v>
      </c>
      <c r="E321" s="3" t="s">
        <v>17</v>
      </c>
      <c r="F321" s="5">
        <v>8109.0</v>
      </c>
      <c r="G321" s="6">
        <v>1.0</v>
      </c>
      <c r="H321" s="7">
        <v>0.17</v>
      </c>
      <c r="I321" s="3" t="s">
        <v>34</v>
      </c>
      <c r="J321" s="3" t="s">
        <v>22</v>
      </c>
      <c r="K321" s="3" t="s">
        <v>35</v>
      </c>
      <c r="L321" s="3" t="s">
        <v>24</v>
      </c>
      <c r="M321" s="5">
        <v>6730.47</v>
      </c>
      <c r="N321" s="11">
        <f t="shared" si="1"/>
        <v>8109</v>
      </c>
    </row>
    <row r="322">
      <c r="A322" s="3" t="s">
        <v>1861</v>
      </c>
      <c r="B322" s="3" t="s">
        <v>1862</v>
      </c>
      <c r="C322" s="4">
        <v>45014.0</v>
      </c>
      <c r="D322" s="10" t="s">
        <v>1863</v>
      </c>
      <c r="E322" s="3" t="s">
        <v>52</v>
      </c>
      <c r="F322" s="5">
        <v>6589.0</v>
      </c>
      <c r="G322" s="6">
        <v>1.0</v>
      </c>
      <c r="H322" s="7">
        <v>0.11</v>
      </c>
      <c r="I322" s="3" t="s">
        <v>65</v>
      </c>
      <c r="J322" s="3" t="s">
        <v>22</v>
      </c>
      <c r="K322" s="3" t="s">
        <v>35</v>
      </c>
      <c r="L322" s="3" t="s">
        <v>36</v>
      </c>
      <c r="M322" s="5">
        <v>5864.21</v>
      </c>
      <c r="N322" s="11">
        <f t="shared" si="1"/>
        <v>6589</v>
      </c>
    </row>
    <row r="323">
      <c r="A323" s="3" t="s">
        <v>1866</v>
      </c>
      <c r="B323" s="3" t="s">
        <v>1867</v>
      </c>
      <c r="C323" s="4">
        <v>45087.0</v>
      </c>
      <c r="D323" s="10" t="s">
        <v>1869</v>
      </c>
      <c r="E323" s="3" t="s">
        <v>30</v>
      </c>
      <c r="F323" s="5">
        <v>9526.0</v>
      </c>
      <c r="G323" s="6">
        <v>1.0</v>
      </c>
      <c r="H323" s="7">
        <v>0.07</v>
      </c>
      <c r="I323" s="3" t="s">
        <v>21</v>
      </c>
      <c r="J323" s="3" t="s">
        <v>22</v>
      </c>
      <c r="K323" s="3" t="s">
        <v>23</v>
      </c>
      <c r="L323" s="3" t="s">
        <v>46</v>
      </c>
      <c r="M323" s="5">
        <v>8859.18</v>
      </c>
      <c r="N323" s="11">
        <f t="shared" si="1"/>
        <v>9526</v>
      </c>
    </row>
    <row r="324">
      <c r="A324" s="3" t="s">
        <v>1872</v>
      </c>
      <c r="B324" s="3" t="s">
        <v>1873</v>
      </c>
      <c r="C324" s="4">
        <v>45074.0</v>
      </c>
      <c r="D324" s="10" t="s">
        <v>1874</v>
      </c>
      <c r="E324" s="3" t="s">
        <v>42</v>
      </c>
      <c r="F324" s="5">
        <v>2171.0</v>
      </c>
      <c r="G324" s="6">
        <v>4.0</v>
      </c>
      <c r="H324" s="7">
        <v>0.16</v>
      </c>
      <c r="I324" s="3" t="s">
        <v>21</v>
      </c>
      <c r="J324" s="3" t="s">
        <v>56</v>
      </c>
      <c r="K324" s="3" t="s">
        <v>23</v>
      </c>
      <c r="L324" s="3" t="s">
        <v>46</v>
      </c>
      <c r="M324" s="5">
        <v>7294.56</v>
      </c>
      <c r="N324" s="11">
        <f t="shared" si="1"/>
        <v>8684</v>
      </c>
    </row>
    <row r="325">
      <c r="A325" s="3" t="s">
        <v>1877</v>
      </c>
      <c r="B325" s="3" t="s">
        <v>1878</v>
      </c>
      <c r="C325" s="4">
        <v>44999.0</v>
      </c>
      <c r="D325" s="10" t="s">
        <v>1879</v>
      </c>
      <c r="E325" s="3" t="s">
        <v>52</v>
      </c>
      <c r="F325" s="5">
        <v>1079.0</v>
      </c>
      <c r="G325" s="6">
        <v>3.0</v>
      </c>
      <c r="H325" s="7">
        <v>0.06</v>
      </c>
      <c r="I325" s="3" t="s">
        <v>34</v>
      </c>
      <c r="J325" s="3" t="s">
        <v>56</v>
      </c>
      <c r="K325" s="3" t="s">
        <v>81</v>
      </c>
      <c r="L325" s="3" t="s">
        <v>46</v>
      </c>
      <c r="M325" s="5">
        <v>3042.78</v>
      </c>
      <c r="N325" s="11">
        <f t="shared" si="1"/>
        <v>3237</v>
      </c>
    </row>
    <row r="326">
      <c r="A326" s="3" t="s">
        <v>1882</v>
      </c>
      <c r="B326" s="3" t="s">
        <v>1883</v>
      </c>
      <c r="C326" s="4">
        <v>45014.0</v>
      </c>
      <c r="D326" s="10" t="s">
        <v>1884</v>
      </c>
      <c r="E326" s="3" t="s">
        <v>200</v>
      </c>
      <c r="F326" s="5">
        <v>8671.0</v>
      </c>
      <c r="G326" s="6">
        <v>4.0</v>
      </c>
      <c r="H326" s="7">
        <v>0.14</v>
      </c>
      <c r="I326" s="3" t="s">
        <v>65</v>
      </c>
      <c r="J326" s="3" t="s">
        <v>22</v>
      </c>
      <c r="K326" s="3" t="s">
        <v>35</v>
      </c>
      <c r="L326" s="3" t="s">
        <v>36</v>
      </c>
      <c r="M326" s="5">
        <v>29828.24</v>
      </c>
      <c r="N326" s="11">
        <f t="shared" si="1"/>
        <v>34684</v>
      </c>
    </row>
    <row r="327">
      <c r="A327" s="3" t="s">
        <v>1887</v>
      </c>
      <c r="B327" s="3" t="s">
        <v>1888</v>
      </c>
      <c r="C327" s="4">
        <v>44940.0</v>
      </c>
      <c r="D327" s="10" t="s">
        <v>1889</v>
      </c>
      <c r="E327" s="3" t="s">
        <v>17</v>
      </c>
      <c r="F327" s="5">
        <v>214.0</v>
      </c>
      <c r="G327" s="6">
        <v>4.0</v>
      </c>
      <c r="H327" s="7">
        <v>0.13</v>
      </c>
      <c r="I327" s="3" t="s">
        <v>65</v>
      </c>
      <c r="J327" s="3" t="s">
        <v>45</v>
      </c>
      <c r="K327" s="3" t="s">
        <v>35</v>
      </c>
      <c r="L327" s="3" t="s">
        <v>24</v>
      </c>
      <c r="M327" s="5">
        <v>744.72</v>
      </c>
      <c r="N327" s="11">
        <f t="shared" si="1"/>
        <v>856</v>
      </c>
    </row>
    <row r="328">
      <c r="A328" s="3" t="s">
        <v>1892</v>
      </c>
      <c r="B328" s="3" t="s">
        <v>1893</v>
      </c>
      <c r="C328" s="4">
        <v>45241.0</v>
      </c>
      <c r="D328" s="10" t="s">
        <v>1894</v>
      </c>
      <c r="E328" s="3" t="s">
        <v>30</v>
      </c>
      <c r="F328" s="5">
        <v>1992.0</v>
      </c>
      <c r="G328" s="6">
        <v>3.0</v>
      </c>
      <c r="H328" s="7">
        <v>0.18</v>
      </c>
      <c r="I328" s="3" t="s">
        <v>55</v>
      </c>
      <c r="J328" s="3" t="s">
        <v>56</v>
      </c>
      <c r="K328" s="3" t="s">
        <v>23</v>
      </c>
      <c r="L328" s="3" t="s">
        <v>36</v>
      </c>
      <c r="M328" s="5">
        <v>4900.32</v>
      </c>
      <c r="N328" s="11">
        <f t="shared" si="1"/>
        <v>5976</v>
      </c>
    </row>
    <row r="329">
      <c r="A329" s="3" t="s">
        <v>1897</v>
      </c>
      <c r="B329" s="3" t="s">
        <v>1898</v>
      </c>
      <c r="C329" s="4">
        <v>45008.0</v>
      </c>
      <c r="D329" s="10" t="s">
        <v>1900</v>
      </c>
      <c r="E329" s="3" t="s">
        <v>17</v>
      </c>
      <c r="F329" s="5">
        <v>2101.0</v>
      </c>
      <c r="G329" s="6">
        <v>4.0</v>
      </c>
      <c r="H329" s="7">
        <v>0.08</v>
      </c>
      <c r="I329" s="3" t="s">
        <v>21</v>
      </c>
      <c r="J329" s="3" t="s">
        <v>73</v>
      </c>
      <c r="K329" s="3" t="s">
        <v>23</v>
      </c>
      <c r="L329" s="3" t="s">
        <v>46</v>
      </c>
      <c r="M329" s="5">
        <v>7731.68</v>
      </c>
      <c r="N329" s="11">
        <f t="shared" si="1"/>
        <v>8404</v>
      </c>
    </row>
    <row r="330">
      <c r="A330" s="3" t="s">
        <v>1903</v>
      </c>
      <c r="B330" s="3" t="s">
        <v>1904</v>
      </c>
      <c r="C330" s="4">
        <v>45047.0</v>
      </c>
      <c r="D330" s="10" t="s">
        <v>1906</v>
      </c>
      <c r="E330" s="3" t="s">
        <v>42</v>
      </c>
      <c r="F330" s="5">
        <v>9126.0</v>
      </c>
      <c r="G330" s="6">
        <v>2.0</v>
      </c>
      <c r="H330" s="7">
        <v>0.06</v>
      </c>
      <c r="I330" s="3" t="s">
        <v>65</v>
      </c>
      <c r="J330" s="3" t="s">
        <v>45</v>
      </c>
      <c r="K330" s="3" t="s">
        <v>23</v>
      </c>
      <c r="L330" s="3" t="s">
        <v>36</v>
      </c>
      <c r="M330" s="5">
        <v>17156.88</v>
      </c>
      <c r="N330" s="11">
        <f t="shared" si="1"/>
        <v>18252</v>
      </c>
    </row>
    <row r="331">
      <c r="A331" s="3" t="s">
        <v>1909</v>
      </c>
      <c r="B331" s="3" t="s">
        <v>1910</v>
      </c>
      <c r="C331" s="4">
        <v>45247.0</v>
      </c>
      <c r="D331" s="10" t="s">
        <v>1912</v>
      </c>
      <c r="E331" s="3" t="s">
        <v>30</v>
      </c>
      <c r="F331" s="5">
        <v>2202.0</v>
      </c>
      <c r="G331" s="6">
        <v>3.0</v>
      </c>
      <c r="H331" s="7">
        <v>0.09</v>
      </c>
      <c r="I331" s="3" t="s">
        <v>55</v>
      </c>
      <c r="J331" s="3" t="s">
        <v>73</v>
      </c>
      <c r="K331" s="3" t="s">
        <v>81</v>
      </c>
      <c r="L331" s="3" t="s">
        <v>36</v>
      </c>
      <c r="M331" s="5">
        <v>6011.46</v>
      </c>
      <c r="N331" s="11">
        <f t="shared" si="1"/>
        <v>6606</v>
      </c>
    </row>
    <row r="332">
      <c r="A332" s="3" t="s">
        <v>1915</v>
      </c>
      <c r="B332" s="3" t="s">
        <v>1916</v>
      </c>
      <c r="C332" s="4">
        <v>45130.0</v>
      </c>
      <c r="D332" s="10" t="s">
        <v>1917</v>
      </c>
      <c r="E332" s="3" t="s">
        <v>200</v>
      </c>
      <c r="F332" s="5">
        <v>1019.0</v>
      </c>
      <c r="G332" s="6">
        <v>3.0</v>
      </c>
      <c r="H332" s="7">
        <v>0.08</v>
      </c>
      <c r="I332" s="3" t="s">
        <v>34</v>
      </c>
      <c r="J332" s="3" t="s">
        <v>73</v>
      </c>
      <c r="K332" s="3" t="s">
        <v>35</v>
      </c>
      <c r="L332" s="3" t="s">
        <v>36</v>
      </c>
      <c r="M332" s="5">
        <v>2812.44</v>
      </c>
      <c r="N332" s="11">
        <f t="shared" si="1"/>
        <v>3057</v>
      </c>
    </row>
    <row r="333">
      <c r="A333" s="3" t="s">
        <v>1920</v>
      </c>
      <c r="B333" s="3" t="s">
        <v>1921</v>
      </c>
      <c r="C333" s="4">
        <v>45147.0</v>
      </c>
      <c r="D333" s="10" t="s">
        <v>1923</v>
      </c>
      <c r="E333" s="3" t="s">
        <v>52</v>
      </c>
      <c r="F333" s="5">
        <v>9802.0</v>
      </c>
      <c r="G333" s="6">
        <v>3.0</v>
      </c>
      <c r="H333" s="7">
        <v>0.06</v>
      </c>
      <c r="I333" s="3" t="s">
        <v>65</v>
      </c>
      <c r="J333" s="3" t="s">
        <v>22</v>
      </c>
      <c r="K333" s="3" t="s">
        <v>121</v>
      </c>
      <c r="L333" s="3" t="s">
        <v>36</v>
      </c>
      <c r="M333" s="5">
        <v>27641.64</v>
      </c>
      <c r="N333" s="11">
        <f t="shared" si="1"/>
        <v>29406</v>
      </c>
    </row>
    <row r="334">
      <c r="A334" s="3" t="s">
        <v>1926</v>
      </c>
      <c r="B334" s="3" t="s">
        <v>1927</v>
      </c>
      <c r="C334" s="4">
        <v>45208.0</v>
      </c>
      <c r="D334" s="10" t="s">
        <v>1929</v>
      </c>
      <c r="E334" s="3" t="s">
        <v>52</v>
      </c>
      <c r="F334" s="5">
        <v>9157.0</v>
      </c>
      <c r="G334" s="6">
        <v>3.0</v>
      </c>
      <c r="H334" s="7">
        <v>0.2</v>
      </c>
      <c r="I334" s="3" t="s">
        <v>21</v>
      </c>
      <c r="J334" s="3" t="s">
        <v>45</v>
      </c>
      <c r="K334" s="3" t="s">
        <v>88</v>
      </c>
      <c r="L334" s="3" t="s">
        <v>36</v>
      </c>
      <c r="M334" s="5">
        <v>21976.8</v>
      </c>
      <c r="N334" s="11">
        <f t="shared" si="1"/>
        <v>27471</v>
      </c>
    </row>
    <row r="335">
      <c r="A335" s="3" t="s">
        <v>1932</v>
      </c>
      <c r="B335" s="3" t="s">
        <v>1933</v>
      </c>
      <c r="C335" s="4">
        <v>45215.0</v>
      </c>
      <c r="D335" s="10" t="s">
        <v>1934</v>
      </c>
      <c r="E335" s="3" t="s">
        <v>200</v>
      </c>
      <c r="F335" s="5">
        <v>973.0</v>
      </c>
      <c r="G335" s="6">
        <v>1.0</v>
      </c>
      <c r="H335" s="7">
        <v>0.09</v>
      </c>
      <c r="I335" s="3" t="s">
        <v>34</v>
      </c>
      <c r="J335" s="3" t="s">
        <v>45</v>
      </c>
      <c r="K335" s="3" t="s">
        <v>23</v>
      </c>
      <c r="L335" s="3" t="s">
        <v>46</v>
      </c>
      <c r="M335" s="5">
        <v>885.43</v>
      </c>
      <c r="N335" s="11">
        <f t="shared" si="1"/>
        <v>973</v>
      </c>
    </row>
    <row r="336">
      <c r="A336" s="3" t="s">
        <v>1937</v>
      </c>
      <c r="B336" s="3" t="s">
        <v>1938</v>
      </c>
      <c r="C336" s="4">
        <v>45197.0</v>
      </c>
      <c r="D336" s="10" t="s">
        <v>1939</v>
      </c>
      <c r="E336" s="3" t="s">
        <v>17</v>
      </c>
      <c r="F336" s="5">
        <v>9166.0</v>
      </c>
      <c r="G336" s="6">
        <v>4.0</v>
      </c>
      <c r="H336" s="7">
        <v>0.1</v>
      </c>
      <c r="I336" s="3" t="s">
        <v>21</v>
      </c>
      <c r="J336" s="3" t="s">
        <v>45</v>
      </c>
      <c r="K336" s="3" t="s">
        <v>81</v>
      </c>
      <c r="L336" s="3" t="s">
        <v>46</v>
      </c>
      <c r="M336" s="5">
        <v>32997.6</v>
      </c>
      <c r="N336" s="11">
        <f t="shared" si="1"/>
        <v>36664</v>
      </c>
    </row>
    <row r="337">
      <c r="A337" s="3" t="s">
        <v>1942</v>
      </c>
      <c r="B337" s="3" t="s">
        <v>1943</v>
      </c>
      <c r="C337" s="4">
        <v>45211.0</v>
      </c>
      <c r="D337" s="10" t="s">
        <v>1945</v>
      </c>
      <c r="E337" s="3" t="s">
        <v>52</v>
      </c>
      <c r="F337" s="5">
        <v>1027.0</v>
      </c>
      <c r="G337" s="6">
        <v>4.0</v>
      </c>
      <c r="H337" s="7">
        <v>0.19</v>
      </c>
      <c r="I337" s="3" t="s">
        <v>21</v>
      </c>
      <c r="J337" s="3" t="s">
        <v>56</v>
      </c>
      <c r="K337" s="3" t="s">
        <v>81</v>
      </c>
      <c r="L337" s="3" t="s">
        <v>46</v>
      </c>
      <c r="M337" s="5">
        <v>3327.48</v>
      </c>
      <c r="N337" s="11">
        <f t="shared" si="1"/>
        <v>4108</v>
      </c>
    </row>
    <row r="338">
      <c r="A338" s="3" t="s">
        <v>1948</v>
      </c>
      <c r="B338" s="3" t="s">
        <v>1949</v>
      </c>
      <c r="C338" s="4">
        <v>45203.0</v>
      </c>
      <c r="D338" s="10" t="s">
        <v>1951</v>
      </c>
      <c r="E338" s="3" t="s">
        <v>200</v>
      </c>
      <c r="F338" s="5">
        <v>4080.0</v>
      </c>
      <c r="G338" s="6">
        <v>4.0</v>
      </c>
      <c r="H338" s="7">
        <v>0.06</v>
      </c>
      <c r="I338" s="3" t="s">
        <v>55</v>
      </c>
      <c r="J338" s="3" t="s">
        <v>45</v>
      </c>
      <c r="K338" s="3" t="s">
        <v>81</v>
      </c>
      <c r="L338" s="3" t="s">
        <v>46</v>
      </c>
      <c r="M338" s="5">
        <v>15340.8</v>
      </c>
      <c r="N338" s="11">
        <f t="shared" si="1"/>
        <v>16320</v>
      </c>
    </row>
    <row r="339">
      <c r="A339" s="3" t="s">
        <v>1954</v>
      </c>
      <c r="B339" s="3" t="s">
        <v>1955</v>
      </c>
      <c r="C339" s="4">
        <v>45251.0</v>
      </c>
      <c r="D339" s="10" t="s">
        <v>1956</v>
      </c>
      <c r="E339" s="3" t="s">
        <v>200</v>
      </c>
      <c r="F339" s="5">
        <v>7727.0</v>
      </c>
      <c r="G339" s="6">
        <v>3.0</v>
      </c>
      <c r="H339" s="7">
        <v>0.18</v>
      </c>
      <c r="I339" s="3" t="s">
        <v>21</v>
      </c>
      <c r="J339" s="3" t="s">
        <v>73</v>
      </c>
      <c r="K339" s="3" t="s">
        <v>35</v>
      </c>
      <c r="L339" s="3" t="s">
        <v>46</v>
      </c>
      <c r="M339" s="5">
        <v>19008.42</v>
      </c>
      <c r="N339" s="11">
        <f t="shared" si="1"/>
        <v>23181</v>
      </c>
    </row>
    <row r="340">
      <c r="A340" s="3" t="s">
        <v>1959</v>
      </c>
      <c r="B340" s="3" t="s">
        <v>1960</v>
      </c>
      <c r="C340" s="4">
        <v>44949.0</v>
      </c>
      <c r="D340" s="10" t="s">
        <v>1962</v>
      </c>
      <c r="E340" s="3" t="s">
        <v>52</v>
      </c>
      <c r="F340" s="5">
        <v>6801.0</v>
      </c>
      <c r="G340" s="6">
        <v>4.0</v>
      </c>
      <c r="H340" s="7">
        <v>0.17</v>
      </c>
      <c r="I340" s="3" t="s">
        <v>21</v>
      </c>
      <c r="J340" s="3" t="s">
        <v>56</v>
      </c>
      <c r="K340" s="3" t="s">
        <v>23</v>
      </c>
      <c r="L340" s="3" t="s">
        <v>36</v>
      </c>
      <c r="M340" s="5">
        <v>22579.32</v>
      </c>
      <c r="N340" s="11">
        <f t="shared" si="1"/>
        <v>27204</v>
      </c>
    </row>
    <row r="341">
      <c r="A341" s="3" t="s">
        <v>1965</v>
      </c>
      <c r="B341" s="3" t="s">
        <v>1966</v>
      </c>
      <c r="C341" s="4">
        <v>45154.0</v>
      </c>
      <c r="D341" s="10" t="s">
        <v>1967</v>
      </c>
      <c r="E341" s="3" t="s">
        <v>42</v>
      </c>
      <c r="F341" s="5">
        <v>3305.0</v>
      </c>
      <c r="G341" s="6">
        <v>4.0</v>
      </c>
      <c r="H341" s="7">
        <v>0.08</v>
      </c>
      <c r="I341" s="3" t="s">
        <v>55</v>
      </c>
      <c r="J341" s="3" t="s">
        <v>45</v>
      </c>
      <c r="K341" s="3" t="s">
        <v>121</v>
      </c>
      <c r="L341" s="3" t="s">
        <v>46</v>
      </c>
      <c r="M341" s="5">
        <v>12162.4</v>
      </c>
      <c r="N341" s="11">
        <f t="shared" si="1"/>
        <v>13220</v>
      </c>
    </row>
    <row r="342">
      <c r="A342" s="3" t="s">
        <v>1970</v>
      </c>
      <c r="B342" s="3" t="s">
        <v>1971</v>
      </c>
      <c r="C342" s="4">
        <v>45010.0</v>
      </c>
      <c r="D342" s="10" t="s">
        <v>1972</v>
      </c>
      <c r="E342" s="3" t="s">
        <v>200</v>
      </c>
      <c r="F342" s="5">
        <v>8096.0</v>
      </c>
      <c r="G342" s="6">
        <v>3.0</v>
      </c>
      <c r="H342" s="7">
        <v>0.07</v>
      </c>
      <c r="I342" s="3" t="s">
        <v>65</v>
      </c>
      <c r="J342" s="3" t="s">
        <v>45</v>
      </c>
      <c r="K342" s="3" t="s">
        <v>23</v>
      </c>
      <c r="L342" s="3" t="s">
        <v>24</v>
      </c>
      <c r="M342" s="5">
        <v>22587.84</v>
      </c>
      <c r="N342" s="11">
        <f t="shared" si="1"/>
        <v>24288</v>
      </c>
    </row>
    <row r="343">
      <c r="A343" s="3" t="s">
        <v>1975</v>
      </c>
      <c r="B343" s="3" t="s">
        <v>1976</v>
      </c>
      <c r="C343" s="4">
        <v>45062.0</v>
      </c>
      <c r="D343" s="10" t="s">
        <v>1978</v>
      </c>
      <c r="E343" s="3" t="s">
        <v>17</v>
      </c>
      <c r="F343" s="5">
        <v>3693.0</v>
      </c>
      <c r="G343" s="6">
        <v>4.0</v>
      </c>
      <c r="H343" s="7">
        <v>0.1</v>
      </c>
      <c r="I343" s="3" t="s">
        <v>55</v>
      </c>
      <c r="J343" s="3" t="s">
        <v>56</v>
      </c>
      <c r="K343" s="3" t="s">
        <v>23</v>
      </c>
      <c r="L343" s="3" t="s">
        <v>24</v>
      </c>
      <c r="M343" s="5">
        <v>13294.8</v>
      </c>
      <c r="N343" s="11">
        <f t="shared" si="1"/>
        <v>14772</v>
      </c>
    </row>
    <row r="344">
      <c r="A344" s="3" t="s">
        <v>1981</v>
      </c>
      <c r="B344" s="3" t="s">
        <v>1982</v>
      </c>
      <c r="C344" s="4">
        <v>44988.0</v>
      </c>
      <c r="D344" s="10" t="s">
        <v>1983</v>
      </c>
      <c r="E344" s="3" t="s">
        <v>17</v>
      </c>
      <c r="F344" s="5">
        <v>2884.0</v>
      </c>
      <c r="G344" s="6">
        <v>3.0</v>
      </c>
      <c r="H344" s="7">
        <v>0.09</v>
      </c>
      <c r="I344" s="3" t="s">
        <v>55</v>
      </c>
      <c r="J344" s="3" t="s">
        <v>45</v>
      </c>
      <c r="K344" s="3" t="s">
        <v>35</v>
      </c>
      <c r="L344" s="3" t="s">
        <v>46</v>
      </c>
      <c r="M344" s="5">
        <v>7873.32</v>
      </c>
      <c r="N344" s="11">
        <f t="shared" si="1"/>
        <v>8652</v>
      </c>
    </row>
    <row r="345">
      <c r="A345" s="3" t="s">
        <v>1986</v>
      </c>
      <c r="B345" s="3" t="s">
        <v>1987</v>
      </c>
      <c r="C345" s="4">
        <v>45068.0</v>
      </c>
      <c r="D345" s="10" t="s">
        <v>1989</v>
      </c>
      <c r="E345" s="3" t="s">
        <v>200</v>
      </c>
      <c r="F345" s="5">
        <v>4890.0</v>
      </c>
      <c r="G345" s="6">
        <v>3.0</v>
      </c>
      <c r="H345" s="7">
        <v>0.12</v>
      </c>
      <c r="I345" s="3" t="s">
        <v>55</v>
      </c>
      <c r="J345" s="3" t="s">
        <v>45</v>
      </c>
      <c r="K345" s="3" t="s">
        <v>121</v>
      </c>
      <c r="L345" s="3" t="s">
        <v>46</v>
      </c>
      <c r="M345" s="5">
        <v>12909.6</v>
      </c>
      <c r="N345" s="11">
        <f t="shared" si="1"/>
        <v>14670</v>
      </c>
    </row>
    <row r="346">
      <c r="A346" s="3" t="s">
        <v>1992</v>
      </c>
      <c r="B346" s="3" t="s">
        <v>1993</v>
      </c>
      <c r="C346" s="4">
        <v>44932.0</v>
      </c>
      <c r="D346" s="10" t="s">
        <v>1995</v>
      </c>
      <c r="E346" s="3" t="s">
        <v>42</v>
      </c>
      <c r="F346" s="5">
        <v>3779.0</v>
      </c>
      <c r="G346" s="6">
        <v>3.0</v>
      </c>
      <c r="H346" s="7">
        <v>0.12</v>
      </c>
      <c r="I346" s="3" t="s">
        <v>55</v>
      </c>
      <c r="J346" s="3" t="s">
        <v>22</v>
      </c>
      <c r="K346" s="3" t="s">
        <v>121</v>
      </c>
      <c r="L346" s="3" t="s">
        <v>24</v>
      </c>
      <c r="M346" s="5">
        <v>9976.56</v>
      </c>
      <c r="N346" s="11">
        <f t="shared" si="1"/>
        <v>11337</v>
      </c>
    </row>
    <row r="347">
      <c r="A347" s="3" t="s">
        <v>1998</v>
      </c>
      <c r="B347" s="3" t="s">
        <v>1999</v>
      </c>
      <c r="C347" s="4">
        <v>45183.0</v>
      </c>
      <c r="D347" s="10" t="s">
        <v>2000</v>
      </c>
      <c r="E347" s="3" t="s">
        <v>30</v>
      </c>
      <c r="F347" s="5">
        <v>8248.0</v>
      </c>
      <c r="G347" s="6">
        <v>3.0</v>
      </c>
      <c r="H347" s="7">
        <v>0.17</v>
      </c>
      <c r="I347" s="3" t="s">
        <v>55</v>
      </c>
      <c r="J347" s="3" t="s">
        <v>73</v>
      </c>
      <c r="K347" s="3" t="s">
        <v>23</v>
      </c>
      <c r="L347" s="3" t="s">
        <v>24</v>
      </c>
      <c r="M347" s="5">
        <v>20537.52</v>
      </c>
      <c r="N347" s="11">
        <f t="shared" si="1"/>
        <v>24744</v>
      </c>
    </row>
    <row r="348">
      <c r="A348" s="3" t="s">
        <v>2003</v>
      </c>
      <c r="B348" s="3" t="s">
        <v>2004</v>
      </c>
      <c r="C348" s="4">
        <v>45063.0</v>
      </c>
      <c r="D348" s="10" t="s">
        <v>2005</v>
      </c>
      <c r="E348" s="3" t="s">
        <v>17</v>
      </c>
      <c r="F348" s="5">
        <v>2884.0</v>
      </c>
      <c r="G348" s="6">
        <v>2.0</v>
      </c>
      <c r="H348" s="7">
        <v>0.13</v>
      </c>
      <c r="I348" s="3" t="s">
        <v>34</v>
      </c>
      <c r="J348" s="3" t="s">
        <v>45</v>
      </c>
      <c r="K348" s="3" t="s">
        <v>88</v>
      </c>
      <c r="L348" s="3" t="s">
        <v>24</v>
      </c>
      <c r="M348" s="5">
        <v>5018.16</v>
      </c>
      <c r="N348" s="11">
        <f t="shared" si="1"/>
        <v>5768</v>
      </c>
    </row>
    <row r="349">
      <c r="A349" s="3" t="s">
        <v>2007</v>
      </c>
      <c r="B349" s="3" t="s">
        <v>2008</v>
      </c>
      <c r="C349" s="4">
        <v>45134.0</v>
      </c>
      <c r="D349" s="10" t="s">
        <v>2009</v>
      </c>
      <c r="E349" s="3" t="s">
        <v>42</v>
      </c>
      <c r="F349" s="5">
        <v>6164.0</v>
      </c>
      <c r="G349" s="6">
        <v>4.0</v>
      </c>
      <c r="H349" s="7">
        <v>0.18</v>
      </c>
      <c r="I349" s="3" t="s">
        <v>65</v>
      </c>
      <c r="J349" s="3" t="s">
        <v>22</v>
      </c>
      <c r="K349" s="3" t="s">
        <v>121</v>
      </c>
      <c r="L349" s="3" t="s">
        <v>46</v>
      </c>
      <c r="M349" s="5">
        <v>20217.92</v>
      </c>
      <c r="N349" s="11">
        <f t="shared" si="1"/>
        <v>24656</v>
      </c>
    </row>
    <row r="350">
      <c r="A350" s="3" t="s">
        <v>2012</v>
      </c>
      <c r="B350" s="3" t="s">
        <v>2013</v>
      </c>
      <c r="C350" s="4">
        <v>45066.0</v>
      </c>
      <c r="D350" s="10" t="s">
        <v>2014</v>
      </c>
      <c r="E350" s="3" t="s">
        <v>17</v>
      </c>
      <c r="F350" s="5">
        <v>406.0</v>
      </c>
      <c r="G350" s="6">
        <v>4.0</v>
      </c>
      <c r="H350" s="7">
        <v>0.15</v>
      </c>
      <c r="I350" s="3" t="s">
        <v>34</v>
      </c>
      <c r="J350" s="3" t="s">
        <v>45</v>
      </c>
      <c r="K350" s="3" t="s">
        <v>88</v>
      </c>
      <c r="L350" s="3" t="s">
        <v>46</v>
      </c>
      <c r="M350" s="5">
        <v>1380.4</v>
      </c>
      <c r="N350" s="11">
        <f t="shared" si="1"/>
        <v>1624</v>
      </c>
    </row>
    <row r="351">
      <c r="A351" s="3" t="s">
        <v>2017</v>
      </c>
      <c r="B351" s="3" t="s">
        <v>2018</v>
      </c>
      <c r="C351" s="4">
        <v>44931.0</v>
      </c>
      <c r="D351" s="10" t="s">
        <v>2020</v>
      </c>
      <c r="E351" s="3" t="s">
        <v>52</v>
      </c>
      <c r="F351" s="5">
        <v>2170.0</v>
      </c>
      <c r="G351" s="6">
        <v>2.0</v>
      </c>
      <c r="H351" s="7">
        <v>0.09</v>
      </c>
      <c r="I351" s="3" t="s">
        <v>34</v>
      </c>
      <c r="J351" s="3" t="s">
        <v>45</v>
      </c>
      <c r="K351" s="3" t="s">
        <v>23</v>
      </c>
      <c r="L351" s="3" t="s">
        <v>24</v>
      </c>
      <c r="M351" s="5">
        <v>3949.4</v>
      </c>
      <c r="N351" s="11">
        <f t="shared" si="1"/>
        <v>4340</v>
      </c>
    </row>
    <row r="352">
      <c r="A352" s="3" t="s">
        <v>2023</v>
      </c>
      <c r="B352" s="3" t="s">
        <v>2024</v>
      </c>
      <c r="C352" s="4">
        <v>45275.0</v>
      </c>
      <c r="D352" s="10" t="s">
        <v>2025</v>
      </c>
      <c r="E352" s="3" t="s">
        <v>42</v>
      </c>
      <c r="F352" s="5">
        <v>8513.0</v>
      </c>
      <c r="G352" s="6">
        <v>4.0</v>
      </c>
      <c r="H352" s="7">
        <v>0.1</v>
      </c>
      <c r="I352" s="3" t="s">
        <v>65</v>
      </c>
      <c r="J352" s="3" t="s">
        <v>73</v>
      </c>
      <c r="K352" s="3" t="s">
        <v>35</v>
      </c>
      <c r="L352" s="3" t="s">
        <v>36</v>
      </c>
      <c r="M352" s="5">
        <v>30646.8</v>
      </c>
      <c r="N352" s="11">
        <f t="shared" si="1"/>
        <v>34052</v>
      </c>
    </row>
    <row r="353">
      <c r="A353" s="3" t="s">
        <v>2028</v>
      </c>
      <c r="B353" s="3" t="s">
        <v>2029</v>
      </c>
      <c r="C353" s="4">
        <v>45209.0</v>
      </c>
      <c r="D353" s="10" t="s">
        <v>2031</v>
      </c>
      <c r="E353" s="3" t="s">
        <v>42</v>
      </c>
      <c r="F353" s="5">
        <v>2490.0</v>
      </c>
      <c r="G353" s="6">
        <v>1.0</v>
      </c>
      <c r="H353" s="7">
        <v>0.13</v>
      </c>
      <c r="I353" s="3" t="s">
        <v>55</v>
      </c>
      <c r="J353" s="3" t="s">
        <v>73</v>
      </c>
      <c r="K353" s="3" t="s">
        <v>121</v>
      </c>
      <c r="L353" s="3" t="s">
        <v>46</v>
      </c>
      <c r="M353" s="5">
        <v>2166.3</v>
      </c>
      <c r="N353" s="11">
        <f t="shared" si="1"/>
        <v>2490</v>
      </c>
    </row>
    <row r="354">
      <c r="A354" s="3" t="s">
        <v>2034</v>
      </c>
      <c r="B354" s="3" t="s">
        <v>2035</v>
      </c>
      <c r="C354" s="4">
        <v>45001.0</v>
      </c>
      <c r="D354" s="10" t="s">
        <v>2037</v>
      </c>
      <c r="E354" s="3" t="s">
        <v>30</v>
      </c>
      <c r="F354" s="5">
        <v>7027.0</v>
      </c>
      <c r="G354" s="6">
        <v>2.0</v>
      </c>
      <c r="H354" s="7">
        <v>0.12</v>
      </c>
      <c r="I354" s="3" t="s">
        <v>65</v>
      </c>
      <c r="J354" s="3" t="s">
        <v>45</v>
      </c>
      <c r="K354" s="3" t="s">
        <v>81</v>
      </c>
      <c r="L354" s="3" t="s">
        <v>24</v>
      </c>
      <c r="M354" s="5">
        <v>12367.52</v>
      </c>
      <c r="N354" s="11">
        <f t="shared" si="1"/>
        <v>14054</v>
      </c>
    </row>
    <row r="355">
      <c r="A355" s="3" t="s">
        <v>2040</v>
      </c>
      <c r="B355" s="3" t="s">
        <v>2041</v>
      </c>
      <c r="C355" s="4">
        <v>45235.0</v>
      </c>
      <c r="D355" s="10" t="s">
        <v>2043</v>
      </c>
      <c r="E355" s="3" t="s">
        <v>52</v>
      </c>
      <c r="F355" s="5">
        <v>9586.0</v>
      </c>
      <c r="G355" s="6">
        <v>1.0</v>
      </c>
      <c r="H355" s="7">
        <v>0.19</v>
      </c>
      <c r="I355" s="3" t="s">
        <v>55</v>
      </c>
      <c r="J355" s="3" t="s">
        <v>45</v>
      </c>
      <c r="K355" s="3" t="s">
        <v>35</v>
      </c>
      <c r="L355" s="3" t="s">
        <v>24</v>
      </c>
      <c r="M355" s="5">
        <v>7764.66</v>
      </c>
      <c r="N355" s="11">
        <f t="shared" si="1"/>
        <v>9586</v>
      </c>
    </row>
    <row r="356">
      <c r="A356" s="3" t="s">
        <v>2046</v>
      </c>
      <c r="B356" s="3" t="s">
        <v>2047</v>
      </c>
      <c r="C356" s="4">
        <v>45146.0</v>
      </c>
      <c r="D356" s="10" t="s">
        <v>2049</v>
      </c>
      <c r="E356" s="3" t="s">
        <v>30</v>
      </c>
      <c r="F356" s="5">
        <v>6725.0</v>
      </c>
      <c r="G356" s="6">
        <v>2.0</v>
      </c>
      <c r="H356" s="7">
        <v>0.2</v>
      </c>
      <c r="I356" s="3" t="s">
        <v>65</v>
      </c>
      <c r="J356" s="3" t="s">
        <v>45</v>
      </c>
      <c r="K356" s="3" t="s">
        <v>88</v>
      </c>
      <c r="L356" s="3" t="s">
        <v>36</v>
      </c>
      <c r="M356" s="5">
        <v>10760.0</v>
      </c>
      <c r="N356" s="11">
        <f t="shared" si="1"/>
        <v>13450</v>
      </c>
    </row>
    <row r="357">
      <c r="A357" s="3" t="s">
        <v>2052</v>
      </c>
      <c r="B357" s="3" t="s">
        <v>2053</v>
      </c>
      <c r="C357" s="4">
        <v>45234.0</v>
      </c>
      <c r="D357" s="10" t="s">
        <v>2054</v>
      </c>
      <c r="E357" s="3" t="s">
        <v>52</v>
      </c>
      <c r="F357" s="5">
        <v>6748.0</v>
      </c>
      <c r="G357" s="6">
        <v>2.0</v>
      </c>
      <c r="H357" s="7">
        <v>0.11</v>
      </c>
      <c r="I357" s="3" t="s">
        <v>55</v>
      </c>
      <c r="J357" s="3" t="s">
        <v>73</v>
      </c>
      <c r="K357" s="3" t="s">
        <v>35</v>
      </c>
      <c r="L357" s="3" t="s">
        <v>24</v>
      </c>
      <c r="M357" s="5">
        <v>12011.44</v>
      </c>
      <c r="N357" s="11">
        <f t="shared" si="1"/>
        <v>13496</v>
      </c>
    </row>
    <row r="358">
      <c r="A358" s="3" t="s">
        <v>2057</v>
      </c>
      <c r="B358" s="3" t="s">
        <v>2058</v>
      </c>
      <c r="C358" s="4">
        <v>45154.0</v>
      </c>
      <c r="D358" s="10" t="s">
        <v>2059</v>
      </c>
      <c r="E358" s="3" t="s">
        <v>52</v>
      </c>
      <c r="F358" s="5">
        <v>4639.0</v>
      </c>
      <c r="G358" s="6">
        <v>2.0</v>
      </c>
      <c r="H358" s="7">
        <v>0.18</v>
      </c>
      <c r="I358" s="3" t="s">
        <v>55</v>
      </c>
      <c r="J358" s="3" t="s">
        <v>56</v>
      </c>
      <c r="K358" s="3" t="s">
        <v>23</v>
      </c>
      <c r="L358" s="3" t="s">
        <v>46</v>
      </c>
      <c r="M358" s="5">
        <v>7607.96</v>
      </c>
      <c r="N358" s="11">
        <f t="shared" si="1"/>
        <v>9278</v>
      </c>
    </row>
    <row r="359">
      <c r="A359" s="3" t="s">
        <v>2062</v>
      </c>
      <c r="B359" s="3" t="s">
        <v>2063</v>
      </c>
      <c r="C359" s="4">
        <v>45288.0</v>
      </c>
      <c r="D359" s="10" t="s">
        <v>2065</v>
      </c>
      <c r="E359" s="3" t="s">
        <v>17</v>
      </c>
      <c r="F359" s="5">
        <v>7976.0</v>
      </c>
      <c r="G359" s="6">
        <v>4.0</v>
      </c>
      <c r="H359" s="7">
        <v>0.12</v>
      </c>
      <c r="I359" s="3" t="s">
        <v>21</v>
      </c>
      <c r="J359" s="3" t="s">
        <v>73</v>
      </c>
      <c r="K359" s="3" t="s">
        <v>35</v>
      </c>
      <c r="L359" s="3" t="s">
        <v>24</v>
      </c>
      <c r="M359" s="5">
        <v>28075.52</v>
      </c>
      <c r="N359" s="11">
        <f t="shared" si="1"/>
        <v>31904</v>
      </c>
    </row>
    <row r="360">
      <c r="A360" s="3" t="s">
        <v>2068</v>
      </c>
      <c r="B360" s="3" t="s">
        <v>2069</v>
      </c>
      <c r="C360" s="4">
        <v>45201.0</v>
      </c>
      <c r="D360" s="10" t="s">
        <v>2070</v>
      </c>
      <c r="E360" s="3" t="s">
        <v>17</v>
      </c>
      <c r="F360" s="5">
        <v>7599.0</v>
      </c>
      <c r="G360" s="6">
        <v>4.0</v>
      </c>
      <c r="H360" s="7">
        <v>0.14</v>
      </c>
      <c r="I360" s="3" t="s">
        <v>65</v>
      </c>
      <c r="J360" s="3" t="s">
        <v>56</v>
      </c>
      <c r="K360" s="3" t="s">
        <v>81</v>
      </c>
      <c r="L360" s="3" t="s">
        <v>46</v>
      </c>
      <c r="M360" s="5">
        <v>26140.56</v>
      </c>
      <c r="N360" s="11">
        <f t="shared" si="1"/>
        <v>30396</v>
      </c>
    </row>
    <row r="361">
      <c r="A361" s="3" t="s">
        <v>2073</v>
      </c>
      <c r="B361" s="3" t="s">
        <v>2074</v>
      </c>
      <c r="C361" s="4">
        <v>45217.0</v>
      </c>
      <c r="D361" s="10" t="s">
        <v>2075</v>
      </c>
      <c r="E361" s="3" t="s">
        <v>17</v>
      </c>
      <c r="F361" s="5">
        <v>7780.0</v>
      </c>
      <c r="G361" s="6">
        <v>1.0</v>
      </c>
      <c r="H361" s="7">
        <v>0.11</v>
      </c>
      <c r="I361" s="3" t="s">
        <v>21</v>
      </c>
      <c r="J361" s="3" t="s">
        <v>56</v>
      </c>
      <c r="K361" s="3" t="s">
        <v>81</v>
      </c>
      <c r="L361" s="3" t="s">
        <v>36</v>
      </c>
      <c r="M361" s="5">
        <v>6924.2</v>
      </c>
      <c r="N361" s="11">
        <f t="shared" si="1"/>
        <v>7780</v>
      </c>
    </row>
    <row r="362">
      <c r="A362" s="3" t="s">
        <v>2078</v>
      </c>
      <c r="B362" s="3" t="s">
        <v>2079</v>
      </c>
      <c r="C362" s="4">
        <v>44978.0</v>
      </c>
      <c r="D362" s="10" t="s">
        <v>2081</v>
      </c>
      <c r="E362" s="3" t="s">
        <v>200</v>
      </c>
      <c r="F362" s="5">
        <v>9155.0</v>
      </c>
      <c r="G362" s="6">
        <v>1.0</v>
      </c>
      <c r="H362" s="7">
        <v>0.06</v>
      </c>
      <c r="I362" s="3" t="s">
        <v>65</v>
      </c>
      <c r="J362" s="3" t="s">
        <v>73</v>
      </c>
      <c r="K362" s="3" t="s">
        <v>23</v>
      </c>
      <c r="L362" s="3" t="s">
        <v>36</v>
      </c>
      <c r="M362" s="5">
        <v>8605.7</v>
      </c>
      <c r="N362" s="11">
        <f t="shared" si="1"/>
        <v>9155</v>
      </c>
    </row>
    <row r="363">
      <c r="A363" s="3" t="s">
        <v>2084</v>
      </c>
      <c r="B363" s="3" t="s">
        <v>2085</v>
      </c>
      <c r="C363" s="4">
        <v>45085.0</v>
      </c>
      <c r="D363" s="10" t="s">
        <v>2087</v>
      </c>
      <c r="E363" s="3" t="s">
        <v>200</v>
      </c>
      <c r="F363" s="5">
        <v>2179.0</v>
      </c>
      <c r="G363" s="6">
        <v>2.0</v>
      </c>
      <c r="H363" s="7">
        <v>0.09</v>
      </c>
      <c r="I363" s="3" t="s">
        <v>65</v>
      </c>
      <c r="J363" s="3" t="s">
        <v>22</v>
      </c>
      <c r="K363" s="3" t="s">
        <v>121</v>
      </c>
      <c r="L363" s="3" t="s">
        <v>46</v>
      </c>
      <c r="M363" s="5">
        <v>3965.78</v>
      </c>
      <c r="N363" s="11">
        <f t="shared" si="1"/>
        <v>4358</v>
      </c>
    </row>
    <row r="364">
      <c r="A364" s="3" t="s">
        <v>2090</v>
      </c>
      <c r="B364" s="3" t="s">
        <v>2091</v>
      </c>
      <c r="C364" s="4">
        <v>45241.0</v>
      </c>
      <c r="D364" s="10" t="s">
        <v>2092</v>
      </c>
      <c r="E364" s="3" t="s">
        <v>52</v>
      </c>
      <c r="F364" s="5">
        <v>6937.0</v>
      </c>
      <c r="G364" s="6">
        <v>2.0</v>
      </c>
      <c r="H364" s="7">
        <v>0.05</v>
      </c>
      <c r="I364" s="3" t="s">
        <v>34</v>
      </c>
      <c r="J364" s="3" t="s">
        <v>56</v>
      </c>
      <c r="K364" s="3" t="s">
        <v>23</v>
      </c>
      <c r="L364" s="3" t="s">
        <v>46</v>
      </c>
      <c r="M364" s="5">
        <v>13180.3</v>
      </c>
      <c r="N364" s="11">
        <f t="shared" si="1"/>
        <v>13874</v>
      </c>
    </row>
    <row r="365">
      <c r="A365" s="3" t="s">
        <v>2095</v>
      </c>
      <c r="B365" s="3" t="s">
        <v>2096</v>
      </c>
      <c r="C365" s="4">
        <v>45238.0</v>
      </c>
      <c r="D365" s="10" t="s">
        <v>2098</v>
      </c>
      <c r="E365" s="3" t="s">
        <v>30</v>
      </c>
      <c r="F365" s="5">
        <v>5707.0</v>
      </c>
      <c r="G365" s="6">
        <v>1.0</v>
      </c>
      <c r="H365" s="7">
        <v>0.19</v>
      </c>
      <c r="I365" s="3" t="s">
        <v>55</v>
      </c>
      <c r="J365" s="3" t="s">
        <v>22</v>
      </c>
      <c r="K365" s="3" t="s">
        <v>23</v>
      </c>
      <c r="L365" s="3" t="s">
        <v>24</v>
      </c>
      <c r="M365" s="5">
        <v>4622.67</v>
      </c>
      <c r="N365" s="11">
        <f t="shared" si="1"/>
        <v>5707</v>
      </c>
    </row>
    <row r="366">
      <c r="A366" s="3" t="s">
        <v>2101</v>
      </c>
      <c r="B366" s="3" t="s">
        <v>2102</v>
      </c>
      <c r="C366" s="4">
        <v>45201.0</v>
      </c>
      <c r="D366" s="10" t="s">
        <v>2103</v>
      </c>
      <c r="E366" s="3" t="s">
        <v>17</v>
      </c>
      <c r="F366" s="5">
        <v>3731.0</v>
      </c>
      <c r="G366" s="6">
        <v>1.0</v>
      </c>
      <c r="H366" s="7">
        <v>0.18</v>
      </c>
      <c r="I366" s="3" t="s">
        <v>65</v>
      </c>
      <c r="J366" s="3" t="s">
        <v>22</v>
      </c>
      <c r="K366" s="3" t="s">
        <v>81</v>
      </c>
      <c r="L366" s="3" t="s">
        <v>46</v>
      </c>
      <c r="M366" s="5">
        <v>3059.42</v>
      </c>
      <c r="N366" s="11">
        <f t="shared" si="1"/>
        <v>3731</v>
      </c>
    </row>
    <row r="367">
      <c r="A367" s="3" t="s">
        <v>2106</v>
      </c>
      <c r="B367" s="3" t="s">
        <v>2107</v>
      </c>
      <c r="C367" s="4">
        <v>45270.0</v>
      </c>
      <c r="D367" s="10" t="s">
        <v>2109</v>
      </c>
      <c r="E367" s="3" t="s">
        <v>42</v>
      </c>
      <c r="F367" s="5">
        <v>9216.0</v>
      </c>
      <c r="G367" s="6">
        <v>2.0</v>
      </c>
      <c r="H367" s="7">
        <v>0.06</v>
      </c>
      <c r="I367" s="3" t="s">
        <v>21</v>
      </c>
      <c r="J367" s="3" t="s">
        <v>73</v>
      </c>
      <c r="K367" s="3" t="s">
        <v>81</v>
      </c>
      <c r="L367" s="3" t="s">
        <v>36</v>
      </c>
      <c r="M367" s="5">
        <v>17326.08</v>
      </c>
      <c r="N367" s="11">
        <f t="shared" si="1"/>
        <v>18432</v>
      </c>
    </row>
    <row r="368">
      <c r="A368" s="3" t="s">
        <v>2112</v>
      </c>
      <c r="B368" s="3" t="s">
        <v>2113</v>
      </c>
      <c r="C368" s="4">
        <v>45253.0</v>
      </c>
      <c r="D368" s="10" t="s">
        <v>2114</v>
      </c>
      <c r="E368" s="3" t="s">
        <v>30</v>
      </c>
      <c r="F368" s="5">
        <v>334.0</v>
      </c>
      <c r="G368" s="6">
        <v>2.0</v>
      </c>
      <c r="H368" s="7">
        <v>0.13</v>
      </c>
      <c r="I368" s="3" t="s">
        <v>65</v>
      </c>
      <c r="J368" s="3" t="s">
        <v>22</v>
      </c>
      <c r="K368" s="3" t="s">
        <v>35</v>
      </c>
      <c r="L368" s="3" t="s">
        <v>24</v>
      </c>
      <c r="M368" s="5">
        <v>581.16</v>
      </c>
      <c r="N368" s="11">
        <f t="shared" si="1"/>
        <v>668</v>
      </c>
    </row>
    <row r="369">
      <c r="A369" s="3" t="s">
        <v>2117</v>
      </c>
      <c r="B369" s="3" t="s">
        <v>2118</v>
      </c>
      <c r="C369" s="4">
        <v>44980.0</v>
      </c>
      <c r="D369" s="10" t="s">
        <v>2119</v>
      </c>
      <c r="E369" s="3" t="s">
        <v>17</v>
      </c>
      <c r="F369" s="5">
        <v>9224.0</v>
      </c>
      <c r="G369" s="6">
        <v>2.0</v>
      </c>
      <c r="H369" s="7">
        <v>0.13</v>
      </c>
      <c r="I369" s="3" t="s">
        <v>55</v>
      </c>
      <c r="J369" s="3" t="s">
        <v>22</v>
      </c>
      <c r="K369" s="3" t="s">
        <v>88</v>
      </c>
      <c r="L369" s="3" t="s">
        <v>46</v>
      </c>
      <c r="M369" s="5">
        <v>16049.76</v>
      </c>
      <c r="N369" s="11">
        <f t="shared" si="1"/>
        <v>18448</v>
      </c>
    </row>
    <row r="370">
      <c r="A370" s="3" t="s">
        <v>2122</v>
      </c>
      <c r="B370" s="3" t="s">
        <v>2123</v>
      </c>
      <c r="C370" s="4">
        <v>45231.0</v>
      </c>
      <c r="D370" s="10" t="s">
        <v>2124</v>
      </c>
      <c r="E370" s="3" t="s">
        <v>200</v>
      </c>
      <c r="F370" s="5">
        <v>721.0</v>
      </c>
      <c r="G370" s="6">
        <v>2.0</v>
      </c>
      <c r="H370" s="7">
        <v>0.09</v>
      </c>
      <c r="I370" s="3" t="s">
        <v>34</v>
      </c>
      <c r="J370" s="3" t="s">
        <v>22</v>
      </c>
      <c r="K370" s="3" t="s">
        <v>81</v>
      </c>
      <c r="L370" s="3" t="s">
        <v>36</v>
      </c>
      <c r="M370" s="5">
        <v>1312.22</v>
      </c>
      <c r="N370" s="11">
        <f t="shared" si="1"/>
        <v>1442</v>
      </c>
    </row>
    <row r="371">
      <c r="A371" s="3" t="s">
        <v>2127</v>
      </c>
      <c r="B371" s="3" t="s">
        <v>2128</v>
      </c>
      <c r="C371" s="4">
        <v>45021.0</v>
      </c>
      <c r="D371" s="10" t="s">
        <v>2129</v>
      </c>
      <c r="E371" s="3" t="s">
        <v>200</v>
      </c>
      <c r="F371" s="5">
        <v>7652.0</v>
      </c>
      <c r="G371" s="6">
        <v>1.0</v>
      </c>
      <c r="H371" s="7">
        <v>0.19</v>
      </c>
      <c r="I371" s="3" t="s">
        <v>34</v>
      </c>
      <c r="J371" s="3" t="s">
        <v>45</v>
      </c>
      <c r="K371" s="3" t="s">
        <v>35</v>
      </c>
      <c r="L371" s="3" t="s">
        <v>24</v>
      </c>
      <c r="M371" s="5">
        <v>6198.12</v>
      </c>
      <c r="N371" s="11">
        <f t="shared" si="1"/>
        <v>7652</v>
      </c>
    </row>
    <row r="372">
      <c r="A372" s="3" t="s">
        <v>2132</v>
      </c>
      <c r="B372" s="3" t="s">
        <v>2133</v>
      </c>
      <c r="C372" s="4">
        <v>44986.0</v>
      </c>
      <c r="D372" s="10" t="s">
        <v>2135</v>
      </c>
      <c r="E372" s="3" t="s">
        <v>17</v>
      </c>
      <c r="F372" s="5">
        <v>2157.0</v>
      </c>
      <c r="G372" s="6">
        <v>3.0</v>
      </c>
      <c r="H372" s="7">
        <v>0.14</v>
      </c>
      <c r="I372" s="3" t="s">
        <v>21</v>
      </c>
      <c r="J372" s="3" t="s">
        <v>73</v>
      </c>
      <c r="K372" s="3" t="s">
        <v>23</v>
      </c>
      <c r="L372" s="3" t="s">
        <v>24</v>
      </c>
      <c r="M372" s="5">
        <v>5565.06</v>
      </c>
      <c r="N372" s="11">
        <f t="shared" si="1"/>
        <v>6471</v>
      </c>
    </row>
    <row r="373">
      <c r="A373" s="3" t="s">
        <v>2138</v>
      </c>
      <c r="B373" s="3" t="s">
        <v>2139</v>
      </c>
      <c r="C373" s="4">
        <v>45263.0</v>
      </c>
      <c r="D373" s="10" t="s">
        <v>2141</v>
      </c>
      <c r="E373" s="3" t="s">
        <v>200</v>
      </c>
      <c r="F373" s="5">
        <v>2017.0</v>
      </c>
      <c r="G373" s="6">
        <v>1.0</v>
      </c>
      <c r="H373" s="7">
        <v>0.18</v>
      </c>
      <c r="I373" s="3" t="s">
        <v>65</v>
      </c>
      <c r="J373" s="3" t="s">
        <v>22</v>
      </c>
      <c r="K373" s="3" t="s">
        <v>88</v>
      </c>
      <c r="L373" s="3" t="s">
        <v>36</v>
      </c>
      <c r="M373" s="5">
        <v>1653.94</v>
      </c>
      <c r="N373" s="11">
        <f t="shared" si="1"/>
        <v>2017</v>
      </c>
    </row>
    <row r="374">
      <c r="A374" s="3" t="s">
        <v>2144</v>
      </c>
      <c r="B374" s="3" t="s">
        <v>2145</v>
      </c>
      <c r="C374" s="4">
        <v>45081.0</v>
      </c>
      <c r="D374" s="10" t="s">
        <v>2147</v>
      </c>
      <c r="E374" s="3" t="s">
        <v>52</v>
      </c>
      <c r="F374" s="5">
        <v>3362.0</v>
      </c>
      <c r="G374" s="6">
        <v>1.0</v>
      </c>
      <c r="H374" s="7">
        <v>0.19</v>
      </c>
      <c r="I374" s="3" t="s">
        <v>55</v>
      </c>
      <c r="J374" s="3" t="s">
        <v>56</v>
      </c>
      <c r="K374" s="3" t="s">
        <v>88</v>
      </c>
      <c r="L374" s="3" t="s">
        <v>24</v>
      </c>
      <c r="M374" s="5">
        <v>2723.22</v>
      </c>
      <c r="N374" s="11">
        <f t="shared" si="1"/>
        <v>3362</v>
      </c>
    </row>
    <row r="375">
      <c r="A375" s="3" t="s">
        <v>2150</v>
      </c>
      <c r="B375" s="3" t="s">
        <v>2151</v>
      </c>
      <c r="C375" s="4">
        <v>45051.0</v>
      </c>
      <c r="D375" s="10" t="s">
        <v>2153</v>
      </c>
      <c r="E375" s="3" t="s">
        <v>200</v>
      </c>
      <c r="F375" s="5">
        <v>2725.0</v>
      </c>
      <c r="G375" s="6">
        <v>3.0</v>
      </c>
      <c r="H375" s="7">
        <v>0.07</v>
      </c>
      <c r="I375" s="3" t="s">
        <v>34</v>
      </c>
      <c r="J375" s="3" t="s">
        <v>22</v>
      </c>
      <c r="K375" s="3" t="s">
        <v>81</v>
      </c>
      <c r="L375" s="3" t="s">
        <v>36</v>
      </c>
      <c r="M375" s="5">
        <v>7602.75</v>
      </c>
      <c r="N375" s="11">
        <f t="shared" si="1"/>
        <v>8175</v>
      </c>
    </row>
    <row r="376">
      <c r="A376" s="3" t="s">
        <v>2156</v>
      </c>
      <c r="B376" s="3" t="s">
        <v>2157</v>
      </c>
      <c r="C376" s="4">
        <v>45090.0</v>
      </c>
      <c r="D376" s="10" t="s">
        <v>2158</v>
      </c>
      <c r="E376" s="3" t="s">
        <v>200</v>
      </c>
      <c r="F376" s="5">
        <v>7868.0</v>
      </c>
      <c r="G376" s="6">
        <v>3.0</v>
      </c>
      <c r="H376" s="7">
        <v>0.14</v>
      </c>
      <c r="I376" s="3" t="s">
        <v>34</v>
      </c>
      <c r="J376" s="3" t="s">
        <v>22</v>
      </c>
      <c r="K376" s="3" t="s">
        <v>121</v>
      </c>
      <c r="L376" s="3" t="s">
        <v>24</v>
      </c>
      <c r="M376" s="5">
        <v>20299.44</v>
      </c>
      <c r="N376" s="11">
        <f t="shared" si="1"/>
        <v>23604</v>
      </c>
    </row>
    <row r="377">
      <c r="A377" s="3" t="s">
        <v>2161</v>
      </c>
      <c r="B377" s="3" t="s">
        <v>2162</v>
      </c>
      <c r="C377" s="4">
        <v>44985.0</v>
      </c>
      <c r="D377" s="10" t="s">
        <v>2163</v>
      </c>
      <c r="E377" s="3" t="s">
        <v>17</v>
      </c>
      <c r="F377" s="5">
        <v>316.0</v>
      </c>
      <c r="G377" s="6">
        <v>4.0</v>
      </c>
      <c r="H377" s="7">
        <v>0.2</v>
      </c>
      <c r="I377" s="3" t="s">
        <v>65</v>
      </c>
      <c r="J377" s="3" t="s">
        <v>22</v>
      </c>
      <c r="K377" s="3" t="s">
        <v>35</v>
      </c>
      <c r="L377" s="3" t="s">
        <v>24</v>
      </c>
      <c r="M377" s="5">
        <v>1011.2</v>
      </c>
      <c r="N377" s="11">
        <f t="shared" si="1"/>
        <v>1264</v>
      </c>
    </row>
    <row r="378">
      <c r="A378" s="3" t="s">
        <v>2166</v>
      </c>
      <c r="B378" s="3" t="s">
        <v>2167</v>
      </c>
      <c r="C378" s="4">
        <v>45033.0</v>
      </c>
      <c r="D378" s="10" t="s">
        <v>2168</v>
      </c>
      <c r="E378" s="3" t="s">
        <v>52</v>
      </c>
      <c r="F378" s="5">
        <v>1173.0</v>
      </c>
      <c r="G378" s="6">
        <v>4.0</v>
      </c>
      <c r="H378" s="7">
        <v>0.18</v>
      </c>
      <c r="I378" s="3" t="s">
        <v>65</v>
      </c>
      <c r="J378" s="3" t="s">
        <v>56</v>
      </c>
      <c r="K378" s="3" t="s">
        <v>121</v>
      </c>
      <c r="L378" s="3" t="s">
        <v>36</v>
      </c>
      <c r="M378" s="5">
        <v>3847.44</v>
      </c>
      <c r="N378" s="11">
        <f t="shared" si="1"/>
        <v>4692</v>
      </c>
    </row>
    <row r="379">
      <c r="A379" s="3" t="s">
        <v>2171</v>
      </c>
      <c r="B379" s="3" t="s">
        <v>2172</v>
      </c>
      <c r="C379" s="4">
        <v>45128.0</v>
      </c>
      <c r="D379" s="10" t="s">
        <v>2173</v>
      </c>
      <c r="E379" s="3" t="s">
        <v>200</v>
      </c>
      <c r="F379" s="5">
        <v>9590.0</v>
      </c>
      <c r="G379" s="6">
        <v>1.0</v>
      </c>
      <c r="H379" s="7">
        <v>0.06</v>
      </c>
      <c r="I379" s="3" t="s">
        <v>65</v>
      </c>
      <c r="J379" s="3" t="s">
        <v>22</v>
      </c>
      <c r="K379" s="3" t="s">
        <v>121</v>
      </c>
      <c r="L379" s="3" t="s">
        <v>24</v>
      </c>
      <c r="M379" s="5">
        <v>9014.6</v>
      </c>
      <c r="N379" s="11">
        <f t="shared" si="1"/>
        <v>9590</v>
      </c>
    </row>
    <row r="380">
      <c r="A380" s="3" t="s">
        <v>2176</v>
      </c>
      <c r="B380" s="3" t="s">
        <v>2177</v>
      </c>
      <c r="C380" s="4">
        <v>45227.0</v>
      </c>
      <c r="D380" s="10" t="s">
        <v>2178</v>
      </c>
      <c r="E380" s="3" t="s">
        <v>200</v>
      </c>
      <c r="F380" s="5">
        <v>1073.0</v>
      </c>
      <c r="G380" s="6">
        <v>1.0</v>
      </c>
      <c r="H380" s="7">
        <v>0.1</v>
      </c>
      <c r="I380" s="3" t="s">
        <v>55</v>
      </c>
      <c r="J380" s="3" t="s">
        <v>22</v>
      </c>
      <c r="K380" s="3" t="s">
        <v>88</v>
      </c>
      <c r="L380" s="3" t="s">
        <v>46</v>
      </c>
      <c r="M380" s="5">
        <v>965.7</v>
      </c>
      <c r="N380" s="11">
        <f t="shared" si="1"/>
        <v>1073</v>
      </c>
    </row>
    <row r="381">
      <c r="A381" s="3" t="s">
        <v>2181</v>
      </c>
      <c r="B381" s="3" t="s">
        <v>2182</v>
      </c>
      <c r="C381" s="4">
        <v>45196.0</v>
      </c>
      <c r="D381" s="10" t="s">
        <v>2183</v>
      </c>
      <c r="E381" s="3" t="s">
        <v>30</v>
      </c>
      <c r="F381" s="5">
        <v>6997.0</v>
      </c>
      <c r="G381" s="6">
        <v>3.0</v>
      </c>
      <c r="H381" s="7">
        <v>0.18</v>
      </c>
      <c r="I381" s="3" t="s">
        <v>34</v>
      </c>
      <c r="J381" s="3" t="s">
        <v>45</v>
      </c>
      <c r="K381" s="3" t="s">
        <v>121</v>
      </c>
      <c r="L381" s="3" t="s">
        <v>24</v>
      </c>
      <c r="M381" s="5">
        <v>17212.62</v>
      </c>
      <c r="N381" s="11">
        <f t="shared" si="1"/>
        <v>20991</v>
      </c>
    </row>
    <row r="382">
      <c r="A382" s="3" t="s">
        <v>2185</v>
      </c>
      <c r="B382" s="3" t="s">
        <v>2186</v>
      </c>
      <c r="C382" s="4">
        <v>45253.0</v>
      </c>
      <c r="D382" s="10" t="s">
        <v>2187</v>
      </c>
      <c r="E382" s="3" t="s">
        <v>17</v>
      </c>
      <c r="F382" s="5">
        <v>8693.0</v>
      </c>
      <c r="G382" s="6">
        <v>3.0</v>
      </c>
      <c r="H382" s="7">
        <v>0.09</v>
      </c>
      <c r="I382" s="3" t="s">
        <v>34</v>
      </c>
      <c r="J382" s="3" t="s">
        <v>22</v>
      </c>
      <c r="K382" s="3" t="s">
        <v>88</v>
      </c>
      <c r="L382" s="3" t="s">
        <v>46</v>
      </c>
      <c r="M382" s="5">
        <v>23731.89</v>
      </c>
      <c r="N382" s="11">
        <f t="shared" si="1"/>
        <v>26079</v>
      </c>
    </row>
    <row r="383">
      <c r="A383" s="3" t="s">
        <v>2190</v>
      </c>
      <c r="B383" s="3" t="s">
        <v>2191</v>
      </c>
      <c r="C383" s="4">
        <v>44965.0</v>
      </c>
      <c r="D383" s="10" t="s">
        <v>2192</v>
      </c>
      <c r="E383" s="3" t="s">
        <v>42</v>
      </c>
      <c r="F383" s="5">
        <v>8134.0</v>
      </c>
      <c r="G383" s="6">
        <v>4.0</v>
      </c>
      <c r="H383" s="7">
        <v>0.08</v>
      </c>
      <c r="I383" s="3" t="s">
        <v>55</v>
      </c>
      <c r="J383" s="3" t="s">
        <v>45</v>
      </c>
      <c r="K383" s="3" t="s">
        <v>121</v>
      </c>
      <c r="L383" s="3" t="s">
        <v>36</v>
      </c>
      <c r="M383" s="5">
        <v>29933.12</v>
      </c>
      <c r="N383" s="11">
        <f t="shared" si="1"/>
        <v>32536</v>
      </c>
    </row>
    <row r="384">
      <c r="A384" s="3" t="s">
        <v>2195</v>
      </c>
      <c r="B384" s="3" t="s">
        <v>2196</v>
      </c>
      <c r="C384" s="4">
        <v>45094.0</v>
      </c>
      <c r="D384" s="10" t="s">
        <v>2198</v>
      </c>
      <c r="E384" s="3" t="s">
        <v>17</v>
      </c>
      <c r="F384" s="5">
        <v>3436.0</v>
      </c>
      <c r="G384" s="6">
        <v>4.0</v>
      </c>
      <c r="H384" s="7">
        <v>0.13</v>
      </c>
      <c r="I384" s="3" t="s">
        <v>65</v>
      </c>
      <c r="J384" s="3" t="s">
        <v>45</v>
      </c>
      <c r="K384" s="3" t="s">
        <v>81</v>
      </c>
      <c r="L384" s="3" t="s">
        <v>24</v>
      </c>
      <c r="M384" s="5">
        <v>11957.28</v>
      </c>
      <c r="N384" s="11">
        <f t="shared" si="1"/>
        <v>13744</v>
      </c>
    </row>
    <row r="385">
      <c r="A385" s="3" t="s">
        <v>2201</v>
      </c>
      <c r="B385" s="3" t="s">
        <v>2202</v>
      </c>
      <c r="C385" s="4">
        <v>45063.0</v>
      </c>
      <c r="D385" s="10" t="s">
        <v>2203</v>
      </c>
      <c r="E385" s="3" t="s">
        <v>42</v>
      </c>
      <c r="F385" s="5">
        <v>5258.0</v>
      </c>
      <c r="G385" s="6">
        <v>3.0</v>
      </c>
      <c r="H385" s="7">
        <v>0.19</v>
      </c>
      <c r="I385" s="3" t="s">
        <v>21</v>
      </c>
      <c r="J385" s="3" t="s">
        <v>73</v>
      </c>
      <c r="K385" s="3" t="s">
        <v>81</v>
      </c>
      <c r="L385" s="3" t="s">
        <v>36</v>
      </c>
      <c r="M385" s="5">
        <v>12776.94</v>
      </c>
      <c r="N385" s="11">
        <f t="shared" si="1"/>
        <v>15774</v>
      </c>
    </row>
    <row r="386">
      <c r="A386" s="3" t="s">
        <v>2206</v>
      </c>
      <c r="B386" s="3" t="s">
        <v>2207</v>
      </c>
      <c r="C386" s="4">
        <v>44940.0</v>
      </c>
      <c r="D386" s="10" t="s">
        <v>2208</v>
      </c>
      <c r="E386" s="3" t="s">
        <v>42</v>
      </c>
      <c r="F386" s="5">
        <v>8439.0</v>
      </c>
      <c r="G386" s="6">
        <v>1.0</v>
      </c>
      <c r="H386" s="7">
        <v>0.14</v>
      </c>
      <c r="I386" s="3" t="s">
        <v>34</v>
      </c>
      <c r="J386" s="3" t="s">
        <v>45</v>
      </c>
      <c r="K386" s="3" t="s">
        <v>121</v>
      </c>
      <c r="L386" s="3" t="s">
        <v>46</v>
      </c>
      <c r="M386" s="5">
        <v>7257.54</v>
      </c>
      <c r="N386" s="11">
        <f t="shared" si="1"/>
        <v>8439</v>
      </c>
    </row>
    <row r="387">
      <c r="A387" s="3" t="s">
        <v>2211</v>
      </c>
      <c r="B387" s="3" t="s">
        <v>2212</v>
      </c>
      <c r="C387" s="4">
        <v>45135.0</v>
      </c>
      <c r="D387" s="10" t="s">
        <v>2214</v>
      </c>
      <c r="E387" s="3" t="s">
        <v>30</v>
      </c>
      <c r="F387" s="5">
        <v>3946.0</v>
      </c>
      <c r="G387" s="6">
        <v>2.0</v>
      </c>
      <c r="H387" s="7">
        <v>0.2</v>
      </c>
      <c r="I387" s="3" t="s">
        <v>65</v>
      </c>
      <c r="J387" s="3" t="s">
        <v>73</v>
      </c>
      <c r="K387" s="3" t="s">
        <v>23</v>
      </c>
      <c r="L387" s="3" t="s">
        <v>46</v>
      </c>
      <c r="M387" s="5">
        <v>6313.6</v>
      </c>
      <c r="N387" s="11">
        <f t="shared" si="1"/>
        <v>7892</v>
      </c>
    </row>
    <row r="388">
      <c r="A388" s="3" t="s">
        <v>2217</v>
      </c>
      <c r="B388" s="3" t="s">
        <v>2218</v>
      </c>
      <c r="C388" s="4">
        <v>44949.0</v>
      </c>
      <c r="D388" s="10" t="s">
        <v>2219</v>
      </c>
      <c r="E388" s="3" t="s">
        <v>17</v>
      </c>
      <c r="F388" s="5">
        <v>3412.0</v>
      </c>
      <c r="G388" s="6">
        <v>3.0</v>
      </c>
      <c r="H388" s="7">
        <v>0.15</v>
      </c>
      <c r="I388" s="3" t="s">
        <v>34</v>
      </c>
      <c r="J388" s="3" t="s">
        <v>56</v>
      </c>
      <c r="K388" s="3" t="s">
        <v>88</v>
      </c>
      <c r="L388" s="3" t="s">
        <v>24</v>
      </c>
      <c r="M388" s="5">
        <v>8700.6</v>
      </c>
      <c r="N388" s="11">
        <f t="shared" si="1"/>
        <v>10236</v>
      </c>
    </row>
    <row r="389">
      <c r="A389" s="3" t="s">
        <v>2222</v>
      </c>
      <c r="B389" s="3" t="s">
        <v>2223</v>
      </c>
      <c r="C389" s="4">
        <v>45262.0</v>
      </c>
      <c r="D389" s="10" t="s">
        <v>2224</v>
      </c>
      <c r="E389" s="3" t="s">
        <v>30</v>
      </c>
      <c r="F389" s="5">
        <v>1509.0</v>
      </c>
      <c r="G389" s="6">
        <v>2.0</v>
      </c>
      <c r="H389" s="7">
        <v>0.13</v>
      </c>
      <c r="I389" s="3" t="s">
        <v>55</v>
      </c>
      <c r="J389" s="3" t="s">
        <v>56</v>
      </c>
      <c r="K389" s="3" t="s">
        <v>81</v>
      </c>
      <c r="L389" s="3" t="s">
        <v>36</v>
      </c>
      <c r="M389" s="5">
        <v>2625.66</v>
      </c>
      <c r="N389" s="11">
        <f t="shared" si="1"/>
        <v>3018</v>
      </c>
    </row>
    <row r="390">
      <c r="A390" s="3" t="s">
        <v>2227</v>
      </c>
      <c r="B390" s="3" t="s">
        <v>2228</v>
      </c>
      <c r="C390" s="4">
        <v>45191.0</v>
      </c>
      <c r="D390" s="10" t="s">
        <v>2230</v>
      </c>
      <c r="E390" s="3" t="s">
        <v>17</v>
      </c>
      <c r="F390" s="5">
        <v>8976.0</v>
      </c>
      <c r="G390" s="6">
        <v>2.0</v>
      </c>
      <c r="H390" s="7">
        <v>0.15</v>
      </c>
      <c r="I390" s="3" t="s">
        <v>65</v>
      </c>
      <c r="J390" s="3" t="s">
        <v>56</v>
      </c>
      <c r="K390" s="3" t="s">
        <v>35</v>
      </c>
      <c r="L390" s="3" t="s">
        <v>46</v>
      </c>
      <c r="M390" s="5">
        <v>15259.2</v>
      </c>
      <c r="N390" s="11">
        <f t="shared" si="1"/>
        <v>17952</v>
      </c>
    </row>
    <row r="391">
      <c r="A391" s="3" t="s">
        <v>2233</v>
      </c>
      <c r="B391" s="3" t="s">
        <v>2234</v>
      </c>
      <c r="C391" s="4">
        <v>45154.0</v>
      </c>
      <c r="D391" s="10" t="s">
        <v>2235</v>
      </c>
      <c r="E391" s="3" t="s">
        <v>30</v>
      </c>
      <c r="F391" s="5">
        <v>4315.0</v>
      </c>
      <c r="G391" s="6">
        <v>1.0</v>
      </c>
      <c r="H391" s="7">
        <v>0.14</v>
      </c>
      <c r="I391" s="3" t="s">
        <v>55</v>
      </c>
      <c r="J391" s="3" t="s">
        <v>56</v>
      </c>
      <c r="K391" s="3" t="s">
        <v>35</v>
      </c>
      <c r="L391" s="3" t="s">
        <v>24</v>
      </c>
      <c r="M391" s="5">
        <v>3710.9</v>
      </c>
      <c r="N391" s="11">
        <f t="shared" si="1"/>
        <v>4315</v>
      </c>
    </row>
    <row r="392">
      <c r="A392" s="3" t="s">
        <v>2238</v>
      </c>
      <c r="B392" s="3" t="s">
        <v>2239</v>
      </c>
      <c r="C392" s="4">
        <v>45189.0</v>
      </c>
      <c r="D392" s="10" t="s">
        <v>2240</v>
      </c>
      <c r="E392" s="3" t="s">
        <v>17</v>
      </c>
      <c r="F392" s="5">
        <v>579.0</v>
      </c>
      <c r="G392" s="6">
        <v>1.0</v>
      </c>
      <c r="H392" s="7">
        <v>0.2</v>
      </c>
      <c r="I392" s="3" t="s">
        <v>34</v>
      </c>
      <c r="J392" s="3" t="s">
        <v>56</v>
      </c>
      <c r="K392" s="3" t="s">
        <v>88</v>
      </c>
      <c r="L392" s="3" t="s">
        <v>36</v>
      </c>
      <c r="M392" s="5">
        <v>463.2</v>
      </c>
      <c r="N392" s="11">
        <f t="shared" si="1"/>
        <v>579</v>
      </c>
    </row>
    <row r="393">
      <c r="A393" s="3" t="s">
        <v>2243</v>
      </c>
      <c r="B393" s="3" t="s">
        <v>2244</v>
      </c>
      <c r="C393" s="4">
        <v>45136.0</v>
      </c>
      <c r="D393" s="10" t="s">
        <v>2245</v>
      </c>
      <c r="E393" s="3" t="s">
        <v>52</v>
      </c>
      <c r="F393" s="5">
        <v>6333.0</v>
      </c>
      <c r="G393" s="6">
        <v>2.0</v>
      </c>
      <c r="H393" s="7">
        <v>0.05</v>
      </c>
      <c r="I393" s="3" t="s">
        <v>65</v>
      </c>
      <c r="J393" s="3" t="s">
        <v>22</v>
      </c>
      <c r="K393" s="3" t="s">
        <v>23</v>
      </c>
      <c r="L393" s="3" t="s">
        <v>46</v>
      </c>
      <c r="M393" s="5">
        <v>12032.7</v>
      </c>
      <c r="N393" s="11">
        <f t="shared" si="1"/>
        <v>12666</v>
      </c>
    </row>
    <row r="394">
      <c r="A394" s="3" t="s">
        <v>2248</v>
      </c>
      <c r="B394" s="3" t="s">
        <v>2249</v>
      </c>
      <c r="C394" s="4">
        <v>44987.0</v>
      </c>
      <c r="D394" s="10" t="s">
        <v>2251</v>
      </c>
      <c r="E394" s="3" t="s">
        <v>42</v>
      </c>
      <c r="F394" s="5">
        <v>4528.0</v>
      </c>
      <c r="G394" s="6">
        <v>4.0</v>
      </c>
      <c r="H394" s="7">
        <v>0.06</v>
      </c>
      <c r="I394" s="3" t="s">
        <v>34</v>
      </c>
      <c r="J394" s="3" t="s">
        <v>56</v>
      </c>
      <c r="K394" s="3" t="s">
        <v>88</v>
      </c>
      <c r="L394" s="3" t="s">
        <v>24</v>
      </c>
      <c r="M394" s="5">
        <v>17025.28</v>
      </c>
      <c r="N394" s="11">
        <f t="shared" si="1"/>
        <v>18112</v>
      </c>
    </row>
    <row r="395">
      <c r="A395" s="3" t="s">
        <v>2254</v>
      </c>
      <c r="B395" s="3" t="s">
        <v>2255</v>
      </c>
      <c r="C395" s="4">
        <v>44983.0</v>
      </c>
      <c r="D395" s="10" t="s">
        <v>2257</v>
      </c>
      <c r="E395" s="3" t="s">
        <v>42</v>
      </c>
      <c r="F395" s="5">
        <v>2209.0</v>
      </c>
      <c r="G395" s="6">
        <v>1.0</v>
      </c>
      <c r="H395" s="7">
        <v>0.1</v>
      </c>
      <c r="I395" s="3" t="s">
        <v>21</v>
      </c>
      <c r="J395" s="3" t="s">
        <v>73</v>
      </c>
      <c r="K395" s="3" t="s">
        <v>121</v>
      </c>
      <c r="L395" s="3" t="s">
        <v>24</v>
      </c>
      <c r="M395" s="5">
        <v>1988.1</v>
      </c>
      <c r="N395" s="11">
        <f t="shared" si="1"/>
        <v>2209</v>
      </c>
    </row>
    <row r="396">
      <c r="A396" s="3" t="s">
        <v>2260</v>
      </c>
      <c r="B396" s="3" t="s">
        <v>2261</v>
      </c>
      <c r="C396" s="4">
        <v>45164.0</v>
      </c>
      <c r="D396" s="10" t="s">
        <v>2262</v>
      </c>
      <c r="E396" s="3" t="s">
        <v>17</v>
      </c>
      <c r="F396" s="5">
        <v>3845.0</v>
      </c>
      <c r="G396" s="6">
        <v>4.0</v>
      </c>
      <c r="H396" s="7">
        <v>0.08</v>
      </c>
      <c r="I396" s="3" t="s">
        <v>21</v>
      </c>
      <c r="J396" s="3" t="s">
        <v>45</v>
      </c>
      <c r="K396" s="3" t="s">
        <v>88</v>
      </c>
      <c r="L396" s="3" t="s">
        <v>24</v>
      </c>
      <c r="M396" s="5">
        <v>14149.6</v>
      </c>
      <c r="N396" s="11">
        <f t="shared" si="1"/>
        <v>15380</v>
      </c>
    </row>
    <row r="397">
      <c r="A397" s="3" t="s">
        <v>2265</v>
      </c>
      <c r="B397" s="3" t="s">
        <v>2266</v>
      </c>
      <c r="C397" s="4">
        <v>45078.0</v>
      </c>
      <c r="D397" s="10" t="s">
        <v>2267</v>
      </c>
      <c r="E397" s="3" t="s">
        <v>42</v>
      </c>
      <c r="F397" s="5">
        <v>803.0</v>
      </c>
      <c r="G397" s="6">
        <v>3.0</v>
      </c>
      <c r="H397" s="7">
        <v>0.12</v>
      </c>
      <c r="I397" s="3" t="s">
        <v>21</v>
      </c>
      <c r="J397" s="3" t="s">
        <v>45</v>
      </c>
      <c r="K397" s="3" t="s">
        <v>23</v>
      </c>
      <c r="L397" s="3" t="s">
        <v>24</v>
      </c>
      <c r="M397" s="5">
        <v>2119.92</v>
      </c>
      <c r="N397" s="11">
        <f t="shared" si="1"/>
        <v>2409</v>
      </c>
    </row>
    <row r="398">
      <c r="A398" s="3" t="s">
        <v>2270</v>
      </c>
      <c r="B398" s="3" t="s">
        <v>2271</v>
      </c>
      <c r="C398" s="4">
        <v>45207.0</v>
      </c>
      <c r="D398" s="10" t="s">
        <v>2272</v>
      </c>
      <c r="E398" s="3" t="s">
        <v>30</v>
      </c>
      <c r="F398" s="5">
        <v>2767.0</v>
      </c>
      <c r="G398" s="6">
        <v>3.0</v>
      </c>
      <c r="H398" s="7">
        <v>0.14</v>
      </c>
      <c r="I398" s="3" t="s">
        <v>21</v>
      </c>
      <c r="J398" s="3" t="s">
        <v>56</v>
      </c>
      <c r="K398" s="3" t="s">
        <v>88</v>
      </c>
      <c r="L398" s="3" t="s">
        <v>36</v>
      </c>
      <c r="M398" s="5">
        <v>7138.86</v>
      </c>
      <c r="N398" s="11">
        <f t="shared" si="1"/>
        <v>8301</v>
      </c>
    </row>
    <row r="399">
      <c r="A399" s="3" t="s">
        <v>2275</v>
      </c>
      <c r="B399" s="3" t="s">
        <v>2276</v>
      </c>
      <c r="C399" s="4">
        <v>44931.0</v>
      </c>
      <c r="D399" s="10" t="s">
        <v>2277</v>
      </c>
      <c r="E399" s="3" t="s">
        <v>52</v>
      </c>
      <c r="F399" s="5">
        <v>7549.0</v>
      </c>
      <c r="G399" s="6">
        <v>2.0</v>
      </c>
      <c r="H399" s="7">
        <v>0.17</v>
      </c>
      <c r="I399" s="3" t="s">
        <v>34</v>
      </c>
      <c r="J399" s="3" t="s">
        <v>73</v>
      </c>
      <c r="K399" s="3" t="s">
        <v>81</v>
      </c>
      <c r="L399" s="3" t="s">
        <v>36</v>
      </c>
      <c r="M399" s="5">
        <v>12531.34</v>
      </c>
      <c r="N399" s="11">
        <f t="shared" si="1"/>
        <v>15098</v>
      </c>
    </row>
    <row r="400">
      <c r="A400" s="3" t="s">
        <v>2280</v>
      </c>
      <c r="B400" s="3" t="s">
        <v>2281</v>
      </c>
      <c r="C400" s="4">
        <v>45027.0</v>
      </c>
      <c r="D400" s="10" t="s">
        <v>2283</v>
      </c>
      <c r="E400" s="3" t="s">
        <v>42</v>
      </c>
      <c r="F400" s="5">
        <v>6080.0</v>
      </c>
      <c r="G400" s="6">
        <v>2.0</v>
      </c>
      <c r="H400" s="7">
        <v>0.11</v>
      </c>
      <c r="I400" s="3" t="s">
        <v>34</v>
      </c>
      <c r="J400" s="3" t="s">
        <v>45</v>
      </c>
      <c r="K400" s="3" t="s">
        <v>23</v>
      </c>
      <c r="L400" s="3" t="s">
        <v>46</v>
      </c>
      <c r="M400" s="5">
        <v>10822.4</v>
      </c>
      <c r="N400" s="11">
        <f t="shared" si="1"/>
        <v>12160</v>
      </c>
    </row>
    <row r="401">
      <c r="A401" s="3" t="s">
        <v>2286</v>
      </c>
      <c r="B401" s="3" t="s">
        <v>2287</v>
      </c>
      <c r="C401" s="4">
        <v>45232.0</v>
      </c>
      <c r="D401" s="10" t="s">
        <v>2288</v>
      </c>
      <c r="E401" s="3" t="s">
        <v>17</v>
      </c>
      <c r="F401" s="5">
        <v>7793.0</v>
      </c>
      <c r="G401" s="6">
        <v>3.0</v>
      </c>
      <c r="H401" s="7">
        <v>0.08</v>
      </c>
      <c r="I401" s="3" t="s">
        <v>55</v>
      </c>
      <c r="J401" s="3" t="s">
        <v>22</v>
      </c>
      <c r="K401" s="3" t="s">
        <v>23</v>
      </c>
      <c r="L401" s="3" t="s">
        <v>24</v>
      </c>
      <c r="M401" s="5">
        <v>21508.68</v>
      </c>
      <c r="N401" s="11">
        <f t="shared" si="1"/>
        <v>23379</v>
      </c>
    </row>
    <row r="402">
      <c r="A402" s="3" t="s">
        <v>2291</v>
      </c>
      <c r="B402" s="3" t="s">
        <v>2292</v>
      </c>
      <c r="C402" s="4">
        <v>45270.0</v>
      </c>
      <c r="D402" s="10" t="s">
        <v>2293</v>
      </c>
      <c r="E402" s="3" t="s">
        <v>30</v>
      </c>
      <c r="F402" s="5">
        <v>1761.0</v>
      </c>
      <c r="G402" s="6">
        <v>3.0</v>
      </c>
      <c r="H402" s="7">
        <v>0.08</v>
      </c>
      <c r="I402" s="3" t="s">
        <v>34</v>
      </c>
      <c r="J402" s="3" t="s">
        <v>45</v>
      </c>
      <c r="K402" s="3" t="s">
        <v>88</v>
      </c>
      <c r="L402" s="3" t="s">
        <v>24</v>
      </c>
      <c r="M402" s="5">
        <v>4860.36</v>
      </c>
      <c r="N402" s="11">
        <f t="shared" si="1"/>
        <v>5283</v>
      </c>
    </row>
    <row r="403">
      <c r="A403" s="3" t="s">
        <v>2295</v>
      </c>
      <c r="B403" s="3" t="s">
        <v>2296</v>
      </c>
      <c r="C403" s="4">
        <v>44957.0</v>
      </c>
      <c r="D403" s="10" t="s">
        <v>2298</v>
      </c>
      <c r="E403" s="3" t="s">
        <v>30</v>
      </c>
      <c r="F403" s="5">
        <v>665.0</v>
      </c>
      <c r="G403" s="6">
        <v>2.0</v>
      </c>
      <c r="H403" s="7">
        <v>0.14</v>
      </c>
      <c r="I403" s="3" t="s">
        <v>34</v>
      </c>
      <c r="J403" s="3" t="s">
        <v>56</v>
      </c>
      <c r="K403" s="3" t="s">
        <v>23</v>
      </c>
      <c r="L403" s="3" t="s">
        <v>36</v>
      </c>
      <c r="M403" s="5">
        <v>1143.8</v>
      </c>
      <c r="N403" s="11">
        <f t="shared" si="1"/>
        <v>1330</v>
      </c>
    </row>
    <row r="404">
      <c r="A404" s="3" t="s">
        <v>2301</v>
      </c>
      <c r="B404" s="3" t="s">
        <v>2302</v>
      </c>
      <c r="C404" s="4">
        <v>44981.0</v>
      </c>
      <c r="D404" s="10" t="s">
        <v>2304</v>
      </c>
      <c r="E404" s="3" t="s">
        <v>200</v>
      </c>
      <c r="F404" s="5">
        <v>4084.0</v>
      </c>
      <c r="G404" s="6">
        <v>3.0</v>
      </c>
      <c r="H404" s="7">
        <v>0.13</v>
      </c>
      <c r="I404" s="3" t="s">
        <v>34</v>
      </c>
      <c r="J404" s="3" t="s">
        <v>73</v>
      </c>
      <c r="K404" s="3" t="s">
        <v>88</v>
      </c>
      <c r="L404" s="3" t="s">
        <v>46</v>
      </c>
      <c r="M404" s="5">
        <v>10659.24</v>
      </c>
      <c r="N404" s="11">
        <f t="shared" si="1"/>
        <v>12252</v>
      </c>
    </row>
    <row r="405">
      <c r="A405" s="3" t="s">
        <v>2307</v>
      </c>
      <c r="B405" s="3" t="s">
        <v>2308</v>
      </c>
      <c r="C405" s="4">
        <v>45080.0</v>
      </c>
      <c r="D405" s="10" t="s">
        <v>2310</v>
      </c>
      <c r="E405" s="3" t="s">
        <v>200</v>
      </c>
      <c r="F405" s="5">
        <v>8941.0</v>
      </c>
      <c r="G405" s="6">
        <v>1.0</v>
      </c>
      <c r="H405" s="7">
        <v>0.2</v>
      </c>
      <c r="I405" s="3" t="s">
        <v>65</v>
      </c>
      <c r="J405" s="3" t="s">
        <v>56</v>
      </c>
      <c r="K405" s="3" t="s">
        <v>121</v>
      </c>
      <c r="L405" s="3" t="s">
        <v>36</v>
      </c>
      <c r="M405" s="5">
        <v>7152.8</v>
      </c>
      <c r="N405" s="11">
        <f t="shared" si="1"/>
        <v>8941</v>
      </c>
    </row>
    <row r="406">
      <c r="A406" s="3" t="s">
        <v>2313</v>
      </c>
      <c r="B406" s="3" t="s">
        <v>2314</v>
      </c>
      <c r="C406" s="4">
        <v>45203.0</v>
      </c>
      <c r="D406" s="10" t="s">
        <v>2315</v>
      </c>
      <c r="E406" s="3" t="s">
        <v>42</v>
      </c>
      <c r="F406" s="5">
        <v>248.0</v>
      </c>
      <c r="G406" s="6">
        <v>1.0</v>
      </c>
      <c r="H406" s="7">
        <v>0.18</v>
      </c>
      <c r="I406" s="3" t="s">
        <v>21</v>
      </c>
      <c r="J406" s="3" t="s">
        <v>56</v>
      </c>
      <c r="K406" s="3" t="s">
        <v>23</v>
      </c>
      <c r="L406" s="3" t="s">
        <v>24</v>
      </c>
      <c r="M406" s="5">
        <v>203.36</v>
      </c>
      <c r="N406" s="11">
        <f t="shared" si="1"/>
        <v>248</v>
      </c>
    </row>
    <row r="407">
      <c r="A407" s="3" t="s">
        <v>2318</v>
      </c>
      <c r="B407" s="3" t="s">
        <v>2319</v>
      </c>
      <c r="C407" s="4">
        <v>45280.0</v>
      </c>
      <c r="D407" s="10" t="s">
        <v>2320</v>
      </c>
      <c r="E407" s="3" t="s">
        <v>52</v>
      </c>
      <c r="F407" s="5">
        <v>9838.0</v>
      </c>
      <c r="G407" s="6">
        <v>4.0</v>
      </c>
      <c r="H407" s="7">
        <v>0.11</v>
      </c>
      <c r="I407" s="3" t="s">
        <v>65</v>
      </c>
      <c r="J407" s="3" t="s">
        <v>56</v>
      </c>
      <c r="K407" s="3" t="s">
        <v>35</v>
      </c>
      <c r="L407" s="3" t="s">
        <v>24</v>
      </c>
      <c r="M407" s="5">
        <v>35023.28</v>
      </c>
      <c r="N407" s="11">
        <f t="shared" si="1"/>
        <v>39352</v>
      </c>
    </row>
    <row r="408">
      <c r="A408" s="3" t="s">
        <v>2322</v>
      </c>
      <c r="B408" s="3" t="s">
        <v>2323</v>
      </c>
      <c r="C408" s="4">
        <v>45284.0</v>
      </c>
      <c r="D408" s="10" t="s">
        <v>2324</v>
      </c>
      <c r="E408" s="3" t="s">
        <v>200</v>
      </c>
      <c r="F408" s="5">
        <v>1756.0</v>
      </c>
      <c r="G408" s="6">
        <v>4.0</v>
      </c>
      <c r="H408" s="7">
        <v>0.1</v>
      </c>
      <c r="I408" s="3" t="s">
        <v>55</v>
      </c>
      <c r="J408" s="3" t="s">
        <v>56</v>
      </c>
      <c r="K408" s="3" t="s">
        <v>35</v>
      </c>
      <c r="L408" s="3" t="s">
        <v>36</v>
      </c>
      <c r="M408" s="5">
        <v>6321.6</v>
      </c>
      <c r="N408" s="11">
        <f t="shared" si="1"/>
        <v>7024</v>
      </c>
    </row>
    <row r="409">
      <c r="A409" s="3" t="s">
        <v>2327</v>
      </c>
      <c r="B409" s="3" t="s">
        <v>2328</v>
      </c>
      <c r="C409" s="4">
        <v>45112.0</v>
      </c>
      <c r="D409" s="10" t="s">
        <v>2329</v>
      </c>
      <c r="E409" s="3" t="s">
        <v>17</v>
      </c>
      <c r="F409" s="5">
        <v>9548.0</v>
      </c>
      <c r="G409" s="6">
        <v>2.0</v>
      </c>
      <c r="H409" s="7">
        <v>0.11</v>
      </c>
      <c r="I409" s="3" t="s">
        <v>34</v>
      </c>
      <c r="J409" s="3" t="s">
        <v>45</v>
      </c>
      <c r="K409" s="3" t="s">
        <v>35</v>
      </c>
      <c r="L409" s="3" t="s">
        <v>24</v>
      </c>
      <c r="M409" s="5">
        <v>16995.44</v>
      </c>
      <c r="N409" s="11">
        <f t="shared" si="1"/>
        <v>19096</v>
      </c>
    </row>
    <row r="410">
      <c r="A410" s="3" t="s">
        <v>2332</v>
      </c>
      <c r="B410" s="3" t="s">
        <v>2333</v>
      </c>
      <c r="C410" s="4">
        <v>44956.0</v>
      </c>
      <c r="D410" s="10" t="s">
        <v>2334</v>
      </c>
      <c r="E410" s="3" t="s">
        <v>17</v>
      </c>
      <c r="F410" s="5">
        <v>8123.0</v>
      </c>
      <c r="G410" s="6">
        <v>1.0</v>
      </c>
      <c r="H410" s="7">
        <v>0.05</v>
      </c>
      <c r="I410" s="3" t="s">
        <v>21</v>
      </c>
      <c r="J410" s="3" t="s">
        <v>56</v>
      </c>
      <c r="K410" s="3" t="s">
        <v>35</v>
      </c>
      <c r="L410" s="3" t="s">
        <v>36</v>
      </c>
      <c r="M410" s="5">
        <v>7716.85</v>
      </c>
      <c r="N410" s="11">
        <f t="shared" si="1"/>
        <v>8123</v>
      </c>
    </row>
    <row r="411">
      <c r="A411" s="3" t="s">
        <v>2336</v>
      </c>
      <c r="B411" s="3" t="s">
        <v>2337</v>
      </c>
      <c r="C411" s="4">
        <v>45236.0</v>
      </c>
      <c r="D411" s="10" t="s">
        <v>2338</v>
      </c>
      <c r="E411" s="3" t="s">
        <v>52</v>
      </c>
      <c r="F411" s="5">
        <v>590.0</v>
      </c>
      <c r="G411" s="6">
        <v>2.0</v>
      </c>
      <c r="H411" s="7">
        <v>0.13</v>
      </c>
      <c r="I411" s="3" t="s">
        <v>21</v>
      </c>
      <c r="J411" s="3" t="s">
        <v>22</v>
      </c>
      <c r="K411" s="3" t="s">
        <v>88</v>
      </c>
      <c r="L411" s="3" t="s">
        <v>36</v>
      </c>
      <c r="M411" s="5">
        <v>1026.6</v>
      </c>
      <c r="N411" s="11">
        <f t="shared" si="1"/>
        <v>1180</v>
      </c>
    </row>
    <row r="412">
      <c r="A412" s="3" t="s">
        <v>2341</v>
      </c>
      <c r="B412" s="3" t="s">
        <v>2342</v>
      </c>
      <c r="C412" s="4">
        <v>45046.0</v>
      </c>
      <c r="D412" s="10" t="s">
        <v>2343</v>
      </c>
      <c r="E412" s="3" t="s">
        <v>42</v>
      </c>
      <c r="F412" s="5">
        <v>1093.0</v>
      </c>
      <c r="G412" s="6">
        <v>4.0</v>
      </c>
      <c r="H412" s="7">
        <v>0.06</v>
      </c>
      <c r="I412" s="3" t="s">
        <v>65</v>
      </c>
      <c r="J412" s="3" t="s">
        <v>22</v>
      </c>
      <c r="K412" s="3" t="s">
        <v>23</v>
      </c>
      <c r="L412" s="3" t="s">
        <v>46</v>
      </c>
      <c r="M412" s="5">
        <v>4109.68</v>
      </c>
      <c r="N412" s="11">
        <f t="shared" si="1"/>
        <v>4372</v>
      </c>
    </row>
    <row r="413">
      <c r="A413" s="3" t="s">
        <v>2346</v>
      </c>
      <c r="B413" s="3" t="s">
        <v>2347</v>
      </c>
      <c r="C413" s="4">
        <v>45269.0</v>
      </c>
      <c r="D413" s="10" t="s">
        <v>2349</v>
      </c>
      <c r="E413" s="3" t="s">
        <v>17</v>
      </c>
      <c r="F413" s="5">
        <v>2586.0</v>
      </c>
      <c r="G413" s="6">
        <v>1.0</v>
      </c>
      <c r="H413" s="7">
        <v>0.08</v>
      </c>
      <c r="I413" s="3" t="s">
        <v>21</v>
      </c>
      <c r="J413" s="3" t="s">
        <v>73</v>
      </c>
      <c r="K413" s="3" t="s">
        <v>88</v>
      </c>
      <c r="L413" s="3" t="s">
        <v>24</v>
      </c>
      <c r="M413" s="5">
        <v>2379.12</v>
      </c>
      <c r="N413" s="11">
        <f t="shared" si="1"/>
        <v>2586</v>
      </c>
    </row>
    <row r="414">
      <c r="A414" s="3" t="s">
        <v>2352</v>
      </c>
      <c r="B414" s="3" t="s">
        <v>2353</v>
      </c>
      <c r="C414" s="4">
        <v>44934.0</v>
      </c>
      <c r="D414" s="10" t="s">
        <v>2355</v>
      </c>
      <c r="E414" s="3" t="s">
        <v>200</v>
      </c>
      <c r="F414" s="5">
        <v>829.0</v>
      </c>
      <c r="G414" s="6">
        <v>1.0</v>
      </c>
      <c r="H414" s="7">
        <v>0.17</v>
      </c>
      <c r="I414" s="3" t="s">
        <v>21</v>
      </c>
      <c r="J414" s="3" t="s">
        <v>73</v>
      </c>
      <c r="K414" s="3" t="s">
        <v>88</v>
      </c>
      <c r="L414" s="3" t="s">
        <v>36</v>
      </c>
      <c r="M414" s="5">
        <v>688.07</v>
      </c>
      <c r="N414" s="11">
        <f t="shared" si="1"/>
        <v>829</v>
      </c>
    </row>
    <row r="415">
      <c r="A415" s="3" t="s">
        <v>2358</v>
      </c>
      <c r="B415" s="3" t="s">
        <v>2359</v>
      </c>
      <c r="C415" s="4">
        <v>45032.0</v>
      </c>
      <c r="D415" s="10" t="s">
        <v>2360</v>
      </c>
      <c r="E415" s="3" t="s">
        <v>30</v>
      </c>
      <c r="F415" s="5">
        <v>1655.0</v>
      </c>
      <c r="G415" s="6">
        <v>4.0</v>
      </c>
      <c r="H415" s="7">
        <v>0.08</v>
      </c>
      <c r="I415" s="3" t="s">
        <v>65</v>
      </c>
      <c r="J415" s="3" t="s">
        <v>22</v>
      </c>
      <c r="K415" s="3" t="s">
        <v>88</v>
      </c>
      <c r="L415" s="3" t="s">
        <v>46</v>
      </c>
      <c r="M415" s="5">
        <v>6090.4</v>
      </c>
      <c r="N415" s="11">
        <f t="shared" si="1"/>
        <v>6620</v>
      </c>
    </row>
    <row r="416">
      <c r="A416" s="3" t="s">
        <v>2363</v>
      </c>
      <c r="B416" s="3" t="s">
        <v>2364</v>
      </c>
      <c r="C416" s="4">
        <v>45064.0</v>
      </c>
      <c r="D416" s="10" t="s">
        <v>2366</v>
      </c>
      <c r="E416" s="3" t="s">
        <v>200</v>
      </c>
      <c r="F416" s="5">
        <v>3268.0</v>
      </c>
      <c r="G416" s="6">
        <v>2.0</v>
      </c>
      <c r="H416" s="7">
        <v>0.14</v>
      </c>
      <c r="I416" s="3" t="s">
        <v>34</v>
      </c>
      <c r="J416" s="3" t="s">
        <v>45</v>
      </c>
      <c r="K416" s="3" t="s">
        <v>35</v>
      </c>
      <c r="L416" s="3" t="s">
        <v>46</v>
      </c>
      <c r="M416" s="5">
        <v>5620.96</v>
      </c>
      <c r="N416" s="11">
        <f t="shared" si="1"/>
        <v>6536</v>
      </c>
    </row>
    <row r="417">
      <c r="A417" s="3" t="s">
        <v>2369</v>
      </c>
      <c r="B417" s="3" t="s">
        <v>2370</v>
      </c>
      <c r="C417" s="4">
        <v>45109.0</v>
      </c>
      <c r="D417" s="10" t="s">
        <v>2371</v>
      </c>
      <c r="E417" s="3" t="s">
        <v>52</v>
      </c>
      <c r="F417" s="5">
        <v>2068.0</v>
      </c>
      <c r="G417" s="6">
        <v>4.0</v>
      </c>
      <c r="H417" s="7">
        <v>0.18</v>
      </c>
      <c r="I417" s="3" t="s">
        <v>65</v>
      </c>
      <c r="J417" s="3" t="s">
        <v>56</v>
      </c>
      <c r="K417" s="3" t="s">
        <v>35</v>
      </c>
      <c r="L417" s="3" t="s">
        <v>36</v>
      </c>
      <c r="M417" s="5">
        <v>6783.04</v>
      </c>
      <c r="N417" s="11">
        <f t="shared" si="1"/>
        <v>8272</v>
      </c>
    </row>
    <row r="418">
      <c r="A418" s="3" t="s">
        <v>2374</v>
      </c>
      <c r="B418" s="3" t="s">
        <v>2375</v>
      </c>
      <c r="C418" s="4">
        <v>45266.0</v>
      </c>
      <c r="D418" s="10" t="s">
        <v>2377</v>
      </c>
      <c r="E418" s="3" t="s">
        <v>17</v>
      </c>
      <c r="F418" s="5">
        <v>9885.0</v>
      </c>
      <c r="G418" s="6">
        <v>4.0</v>
      </c>
      <c r="H418" s="7">
        <v>0.06</v>
      </c>
      <c r="I418" s="3" t="s">
        <v>34</v>
      </c>
      <c r="J418" s="3" t="s">
        <v>22</v>
      </c>
      <c r="K418" s="3" t="s">
        <v>121</v>
      </c>
      <c r="L418" s="3" t="s">
        <v>46</v>
      </c>
      <c r="M418" s="5">
        <v>37167.6</v>
      </c>
      <c r="N418" s="11">
        <f t="shared" si="1"/>
        <v>39540</v>
      </c>
    </row>
    <row r="419">
      <c r="A419" s="3" t="s">
        <v>2380</v>
      </c>
      <c r="B419" s="3" t="s">
        <v>2381</v>
      </c>
      <c r="C419" s="4">
        <v>45136.0</v>
      </c>
      <c r="D419" s="10" t="s">
        <v>2382</v>
      </c>
      <c r="E419" s="3" t="s">
        <v>200</v>
      </c>
      <c r="F419" s="5">
        <v>8806.0</v>
      </c>
      <c r="G419" s="6">
        <v>3.0</v>
      </c>
      <c r="H419" s="7">
        <v>0.13</v>
      </c>
      <c r="I419" s="3" t="s">
        <v>55</v>
      </c>
      <c r="J419" s="3" t="s">
        <v>22</v>
      </c>
      <c r="K419" s="3" t="s">
        <v>35</v>
      </c>
      <c r="L419" s="3" t="s">
        <v>24</v>
      </c>
      <c r="M419" s="5">
        <v>22983.66</v>
      </c>
      <c r="N419" s="11">
        <f t="shared" si="1"/>
        <v>26418</v>
      </c>
    </row>
    <row r="420">
      <c r="A420" s="3" t="s">
        <v>2385</v>
      </c>
      <c r="B420" s="3" t="s">
        <v>2386</v>
      </c>
      <c r="C420" s="4">
        <v>45075.0</v>
      </c>
      <c r="D420" s="10" t="s">
        <v>2387</v>
      </c>
      <c r="E420" s="3" t="s">
        <v>200</v>
      </c>
      <c r="F420" s="5">
        <v>827.0</v>
      </c>
      <c r="G420" s="6">
        <v>2.0</v>
      </c>
      <c r="H420" s="7">
        <v>0.12</v>
      </c>
      <c r="I420" s="3" t="s">
        <v>55</v>
      </c>
      <c r="J420" s="3" t="s">
        <v>73</v>
      </c>
      <c r="K420" s="3" t="s">
        <v>81</v>
      </c>
      <c r="L420" s="3" t="s">
        <v>46</v>
      </c>
      <c r="M420" s="5">
        <v>1455.52</v>
      </c>
      <c r="N420" s="11">
        <f t="shared" si="1"/>
        <v>1654</v>
      </c>
    </row>
    <row r="421">
      <c r="A421" s="3" t="s">
        <v>2390</v>
      </c>
      <c r="B421" s="3" t="s">
        <v>2391</v>
      </c>
      <c r="C421" s="4">
        <v>45186.0</v>
      </c>
      <c r="D421" s="10" t="s">
        <v>2392</v>
      </c>
      <c r="E421" s="3" t="s">
        <v>42</v>
      </c>
      <c r="F421" s="5">
        <v>7434.0</v>
      </c>
      <c r="G421" s="6">
        <v>2.0</v>
      </c>
      <c r="H421" s="7">
        <v>0.07</v>
      </c>
      <c r="I421" s="3" t="s">
        <v>55</v>
      </c>
      <c r="J421" s="3" t="s">
        <v>45</v>
      </c>
      <c r="K421" s="3" t="s">
        <v>121</v>
      </c>
      <c r="L421" s="3" t="s">
        <v>36</v>
      </c>
      <c r="M421" s="5">
        <v>13827.24</v>
      </c>
      <c r="N421" s="11">
        <f t="shared" si="1"/>
        <v>14868</v>
      </c>
    </row>
    <row r="422">
      <c r="A422" s="3" t="s">
        <v>2395</v>
      </c>
      <c r="B422" s="3" t="s">
        <v>2396</v>
      </c>
      <c r="C422" s="4">
        <v>45053.0</v>
      </c>
      <c r="D422" s="10" t="s">
        <v>2398</v>
      </c>
      <c r="E422" s="3" t="s">
        <v>42</v>
      </c>
      <c r="F422" s="5">
        <v>5931.0</v>
      </c>
      <c r="G422" s="6">
        <v>3.0</v>
      </c>
      <c r="H422" s="7">
        <v>0.06</v>
      </c>
      <c r="I422" s="3" t="s">
        <v>34</v>
      </c>
      <c r="J422" s="3" t="s">
        <v>45</v>
      </c>
      <c r="K422" s="3" t="s">
        <v>23</v>
      </c>
      <c r="L422" s="3" t="s">
        <v>46</v>
      </c>
      <c r="M422" s="5">
        <v>16725.42</v>
      </c>
      <c r="N422" s="11">
        <f t="shared" si="1"/>
        <v>17793</v>
      </c>
    </row>
    <row r="423">
      <c r="A423" s="3" t="s">
        <v>2401</v>
      </c>
      <c r="B423" s="3" t="s">
        <v>2402</v>
      </c>
      <c r="C423" s="4">
        <v>45225.0</v>
      </c>
      <c r="D423" s="10" t="s">
        <v>2404</v>
      </c>
      <c r="E423" s="3" t="s">
        <v>17</v>
      </c>
      <c r="F423" s="5">
        <v>9750.0</v>
      </c>
      <c r="G423" s="6">
        <v>1.0</v>
      </c>
      <c r="H423" s="7">
        <v>0.16</v>
      </c>
      <c r="I423" s="3" t="s">
        <v>65</v>
      </c>
      <c r="J423" s="3" t="s">
        <v>73</v>
      </c>
      <c r="K423" s="3" t="s">
        <v>23</v>
      </c>
      <c r="L423" s="3" t="s">
        <v>24</v>
      </c>
      <c r="M423" s="5">
        <v>8190.0</v>
      </c>
      <c r="N423" s="11">
        <f t="shared" si="1"/>
        <v>9750</v>
      </c>
    </row>
    <row r="424">
      <c r="A424" s="3" t="s">
        <v>2407</v>
      </c>
      <c r="B424" s="3" t="s">
        <v>2408</v>
      </c>
      <c r="C424" s="4">
        <v>44992.0</v>
      </c>
      <c r="D424" s="10" t="s">
        <v>2410</v>
      </c>
      <c r="E424" s="3" t="s">
        <v>30</v>
      </c>
      <c r="F424" s="5">
        <v>9669.0</v>
      </c>
      <c r="G424" s="6">
        <v>4.0</v>
      </c>
      <c r="H424" s="7">
        <v>0.15</v>
      </c>
      <c r="I424" s="3" t="s">
        <v>34</v>
      </c>
      <c r="J424" s="3" t="s">
        <v>73</v>
      </c>
      <c r="K424" s="3" t="s">
        <v>121</v>
      </c>
      <c r="L424" s="3" t="s">
        <v>46</v>
      </c>
      <c r="M424" s="5">
        <v>32874.6</v>
      </c>
      <c r="N424" s="11">
        <f t="shared" si="1"/>
        <v>38676</v>
      </c>
    </row>
    <row r="425">
      <c r="A425" s="3" t="s">
        <v>2413</v>
      </c>
      <c r="B425" s="3" t="s">
        <v>2414</v>
      </c>
      <c r="C425" s="4">
        <v>44947.0</v>
      </c>
      <c r="D425" s="10" t="s">
        <v>2416</v>
      </c>
      <c r="E425" s="3" t="s">
        <v>30</v>
      </c>
      <c r="F425" s="5">
        <v>7513.0</v>
      </c>
      <c r="G425" s="6">
        <v>4.0</v>
      </c>
      <c r="H425" s="7">
        <v>0.14</v>
      </c>
      <c r="I425" s="3" t="s">
        <v>65</v>
      </c>
      <c r="J425" s="3" t="s">
        <v>73</v>
      </c>
      <c r="K425" s="3" t="s">
        <v>81</v>
      </c>
      <c r="L425" s="3" t="s">
        <v>24</v>
      </c>
      <c r="M425" s="5">
        <v>25844.72</v>
      </c>
      <c r="N425" s="11">
        <f t="shared" si="1"/>
        <v>30052</v>
      </c>
    </row>
    <row r="426">
      <c r="A426" s="3" t="s">
        <v>2419</v>
      </c>
      <c r="B426" s="3" t="s">
        <v>2420</v>
      </c>
      <c r="C426" s="4">
        <v>45219.0</v>
      </c>
      <c r="D426" s="10" t="s">
        <v>2421</v>
      </c>
      <c r="E426" s="3" t="s">
        <v>200</v>
      </c>
      <c r="F426" s="5">
        <v>2983.0</v>
      </c>
      <c r="G426" s="6">
        <v>2.0</v>
      </c>
      <c r="H426" s="7">
        <v>0.11</v>
      </c>
      <c r="I426" s="3" t="s">
        <v>65</v>
      </c>
      <c r="J426" s="3" t="s">
        <v>56</v>
      </c>
      <c r="K426" s="3" t="s">
        <v>88</v>
      </c>
      <c r="L426" s="3" t="s">
        <v>36</v>
      </c>
      <c r="M426" s="5">
        <v>5309.74</v>
      </c>
      <c r="N426" s="11">
        <f t="shared" si="1"/>
        <v>5966</v>
      </c>
    </row>
    <row r="427">
      <c r="A427" s="3" t="s">
        <v>2424</v>
      </c>
      <c r="B427" s="3" t="s">
        <v>2425</v>
      </c>
      <c r="C427" s="4">
        <v>45251.0</v>
      </c>
      <c r="D427" s="10" t="s">
        <v>2426</v>
      </c>
      <c r="E427" s="3" t="s">
        <v>17</v>
      </c>
      <c r="F427" s="5">
        <v>9655.0</v>
      </c>
      <c r="G427" s="6">
        <v>2.0</v>
      </c>
      <c r="H427" s="7">
        <v>0.14</v>
      </c>
      <c r="I427" s="3" t="s">
        <v>34</v>
      </c>
      <c r="J427" s="3" t="s">
        <v>22</v>
      </c>
      <c r="K427" s="3" t="s">
        <v>23</v>
      </c>
      <c r="L427" s="3" t="s">
        <v>24</v>
      </c>
      <c r="M427" s="5">
        <v>16606.6</v>
      </c>
      <c r="N427" s="11">
        <f t="shared" si="1"/>
        <v>19310</v>
      </c>
    </row>
    <row r="428">
      <c r="A428" s="3" t="s">
        <v>2429</v>
      </c>
      <c r="B428" s="3" t="s">
        <v>2430</v>
      </c>
      <c r="C428" s="4">
        <v>45039.0</v>
      </c>
      <c r="D428" s="10" t="s">
        <v>2432</v>
      </c>
      <c r="E428" s="3" t="s">
        <v>42</v>
      </c>
      <c r="F428" s="5">
        <v>768.0</v>
      </c>
      <c r="G428" s="6">
        <v>2.0</v>
      </c>
      <c r="H428" s="7">
        <v>0.14</v>
      </c>
      <c r="I428" s="3" t="s">
        <v>21</v>
      </c>
      <c r="J428" s="3" t="s">
        <v>56</v>
      </c>
      <c r="K428" s="3" t="s">
        <v>121</v>
      </c>
      <c r="L428" s="3" t="s">
        <v>36</v>
      </c>
      <c r="M428" s="5">
        <v>1320.96</v>
      </c>
      <c r="N428" s="11">
        <f t="shared" si="1"/>
        <v>1536</v>
      </c>
    </row>
    <row r="429">
      <c r="A429" s="3" t="s">
        <v>2435</v>
      </c>
      <c r="B429" s="3" t="s">
        <v>2436</v>
      </c>
      <c r="C429" s="4">
        <v>45065.0</v>
      </c>
      <c r="D429" s="10" t="s">
        <v>2437</v>
      </c>
      <c r="E429" s="3" t="s">
        <v>30</v>
      </c>
      <c r="F429" s="5">
        <v>7277.0</v>
      </c>
      <c r="G429" s="6">
        <v>1.0</v>
      </c>
      <c r="H429" s="7">
        <v>0.06</v>
      </c>
      <c r="I429" s="3" t="s">
        <v>34</v>
      </c>
      <c r="J429" s="3" t="s">
        <v>45</v>
      </c>
      <c r="K429" s="3" t="s">
        <v>121</v>
      </c>
      <c r="L429" s="3" t="s">
        <v>36</v>
      </c>
      <c r="M429" s="5">
        <v>6840.38</v>
      </c>
      <c r="N429" s="11">
        <f t="shared" si="1"/>
        <v>7277</v>
      </c>
    </row>
    <row r="430">
      <c r="A430" s="3" t="s">
        <v>2440</v>
      </c>
      <c r="B430" s="3" t="s">
        <v>2441</v>
      </c>
      <c r="C430" s="4">
        <v>45164.0</v>
      </c>
      <c r="D430" s="10" t="s">
        <v>2442</v>
      </c>
      <c r="E430" s="3" t="s">
        <v>52</v>
      </c>
      <c r="F430" s="5">
        <v>959.0</v>
      </c>
      <c r="G430" s="6">
        <v>1.0</v>
      </c>
      <c r="H430" s="7">
        <v>0.05</v>
      </c>
      <c r="I430" s="3" t="s">
        <v>34</v>
      </c>
      <c r="J430" s="3" t="s">
        <v>56</v>
      </c>
      <c r="K430" s="3" t="s">
        <v>121</v>
      </c>
      <c r="L430" s="3" t="s">
        <v>36</v>
      </c>
      <c r="M430" s="5">
        <v>911.05</v>
      </c>
      <c r="N430" s="11">
        <f t="shared" si="1"/>
        <v>959</v>
      </c>
    </row>
    <row r="431">
      <c r="A431" s="3" t="s">
        <v>2445</v>
      </c>
      <c r="B431" s="3" t="s">
        <v>2446</v>
      </c>
      <c r="C431" s="4">
        <v>45287.0</v>
      </c>
      <c r="D431" s="10" t="s">
        <v>2447</v>
      </c>
      <c r="E431" s="3" t="s">
        <v>200</v>
      </c>
      <c r="F431" s="5">
        <v>4170.0</v>
      </c>
      <c r="G431" s="6">
        <v>4.0</v>
      </c>
      <c r="H431" s="7">
        <v>0.06</v>
      </c>
      <c r="I431" s="3" t="s">
        <v>34</v>
      </c>
      <c r="J431" s="3" t="s">
        <v>73</v>
      </c>
      <c r="K431" s="3" t="s">
        <v>121</v>
      </c>
      <c r="L431" s="3" t="s">
        <v>46</v>
      </c>
      <c r="M431" s="5">
        <v>15679.2</v>
      </c>
      <c r="N431" s="11">
        <f t="shared" si="1"/>
        <v>16680</v>
      </c>
    </row>
    <row r="432">
      <c r="A432" s="3" t="s">
        <v>2450</v>
      </c>
      <c r="B432" s="3" t="s">
        <v>2451</v>
      </c>
      <c r="C432" s="4">
        <v>45274.0</v>
      </c>
      <c r="D432" s="10" t="s">
        <v>2452</v>
      </c>
      <c r="E432" s="3" t="s">
        <v>42</v>
      </c>
      <c r="F432" s="5">
        <v>5370.0</v>
      </c>
      <c r="G432" s="6">
        <v>3.0</v>
      </c>
      <c r="H432" s="7">
        <v>0.12</v>
      </c>
      <c r="I432" s="3" t="s">
        <v>34</v>
      </c>
      <c r="J432" s="3" t="s">
        <v>73</v>
      </c>
      <c r="K432" s="3" t="s">
        <v>81</v>
      </c>
      <c r="L432" s="3" t="s">
        <v>24</v>
      </c>
      <c r="M432" s="5">
        <v>14176.8</v>
      </c>
      <c r="N432" s="11">
        <f t="shared" si="1"/>
        <v>16110</v>
      </c>
    </row>
    <row r="433">
      <c r="A433" s="3" t="s">
        <v>2455</v>
      </c>
      <c r="B433" s="3" t="s">
        <v>2456</v>
      </c>
      <c r="C433" s="4">
        <v>44970.0</v>
      </c>
      <c r="D433" s="10" t="s">
        <v>2457</v>
      </c>
      <c r="E433" s="3" t="s">
        <v>200</v>
      </c>
      <c r="F433" s="5">
        <v>7048.0</v>
      </c>
      <c r="G433" s="6">
        <v>2.0</v>
      </c>
      <c r="H433" s="7">
        <v>0.15</v>
      </c>
      <c r="I433" s="3" t="s">
        <v>21</v>
      </c>
      <c r="J433" s="3" t="s">
        <v>73</v>
      </c>
      <c r="K433" s="3" t="s">
        <v>23</v>
      </c>
      <c r="L433" s="3" t="s">
        <v>36</v>
      </c>
      <c r="M433" s="5">
        <v>11981.6</v>
      </c>
      <c r="N433" s="11">
        <f t="shared" si="1"/>
        <v>14096</v>
      </c>
    </row>
    <row r="434">
      <c r="A434" s="3" t="s">
        <v>2460</v>
      </c>
      <c r="B434" s="3" t="s">
        <v>2461</v>
      </c>
      <c r="C434" s="4">
        <v>44990.0</v>
      </c>
      <c r="D434" s="10" t="s">
        <v>2462</v>
      </c>
      <c r="E434" s="3" t="s">
        <v>200</v>
      </c>
      <c r="F434" s="5">
        <v>8422.0</v>
      </c>
      <c r="G434" s="6">
        <v>3.0</v>
      </c>
      <c r="H434" s="7">
        <v>0.15</v>
      </c>
      <c r="I434" s="3" t="s">
        <v>65</v>
      </c>
      <c r="J434" s="3" t="s">
        <v>73</v>
      </c>
      <c r="K434" s="3" t="s">
        <v>35</v>
      </c>
      <c r="L434" s="3" t="s">
        <v>46</v>
      </c>
      <c r="M434" s="5">
        <v>21476.1</v>
      </c>
      <c r="N434" s="11">
        <f t="shared" si="1"/>
        <v>25266</v>
      </c>
    </row>
    <row r="435">
      <c r="A435" s="3" t="s">
        <v>2465</v>
      </c>
      <c r="B435" s="3" t="s">
        <v>2466</v>
      </c>
      <c r="C435" s="4">
        <v>45192.0</v>
      </c>
      <c r="D435" s="10" t="s">
        <v>2467</v>
      </c>
      <c r="E435" s="3" t="s">
        <v>30</v>
      </c>
      <c r="F435" s="5">
        <v>700.0</v>
      </c>
      <c r="G435" s="6">
        <v>4.0</v>
      </c>
      <c r="H435" s="7">
        <v>0.12</v>
      </c>
      <c r="I435" s="3" t="s">
        <v>34</v>
      </c>
      <c r="J435" s="3" t="s">
        <v>22</v>
      </c>
      <c r="K435" s="3" t="s">
        <v>35</v>
      </c>
      <c r="L435" s="3" t="s">
        <v>36</v>
      </c>
      <c r="M435" s="5">
        <v>2464.0</v>
      </c>
      <c r="N435" s="11">
        <f t="shared" si="1"/>
        <v>2800</v>
      </c>
    </row>
    <row r="436">
      <c r="A436" s="3" t="s">
        <v>2470</v>
      </c>
      <c r="B436" s="3" t="s">
        <v>2471</v>
      </c>
      <c r="C436" s="4">
        <v>45018.0</v>
      </c>
      <c r="D436" s="10" t="s">
        <v>2472</v>
      </c>
      <c r="E436" s="3" t="s">
        <v>30</v>
      </c>
      <c r="F436" s="5">
        <v>5469.0</v>
      </c>
      <c r="G436" s="6">
        <v>4.0</v>
      </c>
      <c r="H436" s="7">
        <v>0.05</v>
      </c>
      <c r="I436" s="3" t="s">
        <v>65</v>
      </c>
      <c r="J436" s="3" t="s">
        <v>22</v>
      </c>
      <c r="K436" s="3" t="s">
        <v>23</v>
      </c>
      <c r="L436" s="3" t="s">
        <v>24</v>
      </c>
      <c r="M436" s="5">
        <v>20782.2</v>
      </c>
      <c r="N436" s="11">
        <f t="shared" si="1"/>
        <v>21876</v>
      </c>
    </row>
    <row r="437">
      <c r="A437" s="3" t="s">
        <v>2475</v>
      </c>
      <c r="B437" s="3" t="s">
        <v>2476</v>
      </c>
      <c r="C437" s="4">
        <v>45038.0</v>
      </c>
      <c r="D437" s="10" t="s">
        <v>2477</v>
      </c>
      <c r="E437" s="3" t="s">
        <v>200</v>
      </c>
      <c r="F437" s="5">
        <v>692.0</v>
      </c>
      <c r="G437" s="6">
        <v>3.0</v>
      </c>
      <c r="H437" s="7">
        <v>0.14</v>
      </c>
      <c r="I437" s="3" t="s">
        <v>55</v>
      </c>
      <c r="J437" s="3" t="s">
        <v>22</v>
      </c>
      <c r="K437" s="3" t="s">
        <v>35</v>
      </c>
      <c r="L437" s="3" t="s">
        <v>36</v>
      </c>
      <c r="M437" s="5">
        <v>1785.36</v>
      </c>
      <c r="N437" s="11">
        <f t="shared" si="1"/>
        <v>2076</v>
      </c>
    </row>
    <row r="438">
      <c r="A438" s="3" t="s">
        <v>2480</v>
      </c>
      <c r="B438" s="3" t="s">
        <v>2481</v>
      </c>
      <c r="C438" s="4">
        <v>45266.0</v>
      </c>
      <c r="D438" s="10" t="s">
        <v>2482</v>
      </c>
      <c r="E438" s="3" t="s">
        <v>42</v>
      </c>
      <c r="F438" s="5">
        <v>902.0</v>
      </c>
      <c r="G438" s="6">
        <v>2.0</v>
      </c>
      <c r="H438" s="7">
        <v>0.2</v>
      </c>
      <c r="I438" s="3" t="s">
        <v>34</v>
      </c>
      <c r="J438" s="3" t="s">
        <v>45</v>
      </c>
      <c r="K438" s="3" t="s">
        <v>23</v>
      </c>
      <c r="L438" s="3" t="s">
        <v>24</v>
      </c>
      <c r="M438" s="5">
        <v>1443.2</v>
      </c>
      <c r="N438" s="11">
        <f t="shared" si="1"/>
        <v>1804</v>
      </c>
    </row>
    <row r="439">
      <c r="A439" s="3" t="s">
        <v>2485</v>
      </c>
      <c r="B439" s="3" t="s">
        <v>2486</v>
      </c>
      <c r="C439" s="4">
        <v>45259.0</v>
      </c>
      <c r="D439" s="10" t="s">
        <v>2488</v>
      </c>
      <c r="E439" s="3" t="s">
        <v>52</v>
      </c>
      <c r="F439" s="5">
        <v>4878.0</v>
      </c>
      <c r="G439" s="6">
        <v>4.0</v>
      </c>
      <c r="H439" s="7">
        <v>0.1</v>
      </c>
      <c r="I439" s="3" t="s">
        <v>65</v>
      </c>
      <c r="J439" s="3" t="s">
        <v>73</v>
      </c>
      <c r="K439" s="3" t="s">
        <v>121</v>
      </c>
      <c r="L439" s="3" t="s">
        <v>46</v>
      </c>
      <c r="M439" s="5">
        <v>17560.8</v>
      </c>
      <c r="N439" s="11">
        <f t="shared" si="1"/>
        <v>19512</v>
      </c>
    </row>
    <row r="440">
      <c r="A440" s="3" t="s">
        <v>2491</v>
      </c>
      <c r="B440" s="3" t="s">
        <v>2492</v>
      </c>
      <c r="C440" s="4">
        <v>45201.0</v>
      </c>
      <c r="D440" s="10" t="s">
        <v>2493</v>
      </c>
      <c r="E440" s="3" t="s">
        <v>52</v>
      </c>
      <c r="F440" s="5">
        <v>991.0</v>
      </c>
      <c r="G440" s="6">
        <v>4.0</v>
      </c>
      <c r="H440" s="7">
        <v>0.16</v>
      </c>
      <c r="I440" s="3" t="s">
        <v>55</v>
      </c>
      <c r="J440" s="3" t="s">
        <v>22</v>
      </c>
      <c r="K440" s="3" t="s">
        <v>81</v>
      </c>
      <c r="L440" s="3" t="s">
        <v>36</v>
      </c>
      <c r="M440" s="5">
        <v>3329.76</v>
      </c>
      <c r="N440" s="11">
        <f t="shared" si="1"/>
        <v>3964</v>
      </c>
    </row>
    <row r="441">
      <c r="A441" s="3" t="s">
        <v>2496</v>
      </c>
      <c r="B441" s="3" t="s">
        <v>2497</v>
      </c>
      <c r="C441" s="4">
        <v>45257.0</v>
      </c>
      <c r="D441" s="10" t="s">
        <v>2499</v>
      </c>
      <c r="E441" s="3" t="s">
        <v>30</v>
      </c>
      <c r="F441" s="5">
        <v>1441.0</v>
      </c>
      <c r="G441" s="6">
        <v>2.0</v>
      </c>
      <c r="H441" s="7">
        <v>0.15</v>
      </c>
      <c r="I441" s="3" t="s">
        <v>65</v>
      </c>
      <c r="J441" s="3" t="s">
        <v>22</v>
      </c>
      <c r="K441" s="3" t="s">
        <v>88</v>
      </c>
      <c r="L441" s="3" t="s">
        <v>46</v>
      </c>
      <c r="M441" s="5">
        <v>2449.7</v>
      </c>
      <c r="N441" s="11">
        <f t="shared" si="1"/>
        <v>2882</v>
      </c>
    </row>
    <row r="442">
      <c r="A442" s="3" t="s">
        <v>2502</v>
      </c>
      <c r="B442" s="3" t="s">
        <v>2503</v>
      </c>
      <c r="C442" s="4">
        <v>45153.0</v>
      </c>
      <c r="D442" s="10" t="s">
        <v>2504</v>
      </c>
      <c r="E442" s="3" t="s">
        <v>42</v>
      </c>
      <c r="F442" s="5">
        <v>9426.0</v>
      </c>
      <c r="G442" s="6">
        <v>4.0</v>
      </c>
      <c r="H442" s="7">
        <v>0.1</v>
      </c>
      <c r="I442" s="3" t="s">
        <v>34</v>
      </c>
      <c r="J442" s="3" t="s">
        <v>56</v>
      </c>
      <c r="K442" s="3" t="s">
        <v>121</v>
      </c>
      <c r="L442" s="3" t="s">
        <v>24</v>
      </c>
      <c r="M442" s="5">
        <v>33933.6</v>
      </c>
      <c r="N442" s="11">
        <f t="shared" si="1"/>
        <v>37704</v>
      </c>
    </row>
    <row r="443">
      <c r="A443" s="3" t="s">
        <v>2507</v>
      </c>
      <c r="B443" s="3" t="s">
        <v>2508</v>
      </c>
      <c r="C443" s="4">
        <v>45152.0</v>
      </c>
      <c r="D443" s="10" t="s">
        <v>2510</v>
      </c>
      <c r="E443" s="3" t="s">
        <v>17</v>
      </c>
      <c r="F443" s="5">
        <v>9183.0</v>
      </c>
      <c r="G443" s="6">
        <v>4.0</v>
      </c>
      <c r="H443" s="7">
        <v>0.15</v>
      </c>
      <c r="I443" s="3" t="s">
        <v>21</v>
      </c>
      <c r="J443" s="3" t="s">
        <v>22</v>
      </c>
      <c r="K443" s="3" t="s">
        <v>81</v>
      </c>
      <c r="L443" s="3" t="s">
        <v>46</v>
      </c>
      <c r="M443" s="5">
        <v>31222.2</v>
      </c>
      <c r="N443" s="11">
        <f t="shared" si="1"/>
        <v>36732</v>
      </c>
    </row>
    <row r="444">
      <c r="A444" s="3" t="s">
        <v>2513</v>
      </c>
      <c r="B444" s="3" t="s">
        <v>2514</v>
      </c>
      <c r="C444" s="4">
        <v>45058.0</v>
      </c>
      <c r="D444" s="10" t="s">
        <v>2515</v>
      </c>
      <c r="E444" s="3" t="s">
        <v>30</v>
      </c>
      <c r="F444" s="5">
        <v>3568.0</v>
      </c>
      <c r="G444" s="6">
        <v>3.0</v>
      </c>
      <c r="H444" s="7">
        <v>0.06</v>
      </c>
      <c r="I444" s="3" t="s">
        <v>21</v>
      </c>
      <c r="J444" s="3" t="s">
        <v>22</v>
      </c>
      <c r="K444" s="3" t="s">
        <v>23</v>
      </c>
      <c r="L444" s="3" t="s">
        <v>46</v>
      </c>
      <c r="M444" s="5">
        <v>10061.76</v>
      </c>
      <c r="N444" s="11">
        <f t="shared" si="1"/>
        <v>10704</v>
      </c>
    </row>
    <row r="445">
      <c r="A445" s="3" t="s">
        <v>2518</v>
      </c>
      <c r="B445" s="3" t="s">
        <v>2519</v>
      </c>
      <c r="C445" s="4">
        <v>45155.0</v>
      </c>
      <c r="D445" s="10" t="s">
        <v>2520</v>
      </c>
      <c r="E445" s="3" t="s">
        <v>42</v>
      </c>
      <c r="F445" s="5">
        <v>9508.0</v>
      </c>
      <c r="G445" s="6">
        <v>1.0</v>
      </c>
      <c r="H445" s="7">
        <v>0.19</v>
      </c>
      <c r="I445" s="3" t="s">
        <v>65</v>
      </c>
      <c r="J445" s="3" t="s">
        <v>73</v>
      </c>
      <c r="K445" s="3" t="s">
        <v>81</v>
      </c>
      <c r="L445" s="3" t="s">
        <v>24</v>
      </c>
      <c r="M445" s="5">
        <v>7701.48</v>
      </c>
      <c r="N445" s="11">
        <f t="shared" si="1"/>
        <v>9508</v>
      </c>
    </row>
    <row r="446">
      <c r="A446" s="3" t="s">
        <v>2523</v>
      </c>
      <c r="B446" s="3" t="s">
        <v>2524</v>
      </c>
      <c r="C446" s="4">
        <v>45241.0</v>
      </c>
      <c r="D446" s="10" t="s">
        <v>2525</v>
      </c>
      <c r="E446" s="3" t="s">
        <v>30</v>
      </c>
      <c r="F446" s="5">
        <v>9690.0</v>
      </c>
      <c r="G446" s="6">
        <v>4.0</v>
      </c>
      <c r="H446" s="7">
        <v>0.09</v>
      </c>
      <c r="I446" s="3" t="s">
        <v>34</v>
      </c>
      <c r="J446" s="3" t="s">
        <v>22</v>
      </c>
      <c r="K446" s="3" t="s">
        <v>23</v>
      </c>
      <c r="L446" s="3" t="s">
        <v>24</v>
      </c>
      <c r="M446" s="5">
        <v>35271.6</v>
      </c>
      <c r="N446" s="11">
        <f t="shared" si="1"/>
        <v>38760</v>
      </c>
    </row>
    <row r="447">
      <c r="A447" s="3" t="s">
        <v>2528</v>
      </c>
      <c r="B447" s="3" t="s">
        <v>2529</v>
      </c>
      <c r="C447" s="4">
        <v>45055.0</v>
      </c>
      <c r="D447" s="10" t="s">
        <v>2530</v>
      </c>
      <c r="E447" s="3" t="s">
        <v>52</v>
      </c>
      <c r="F447" s="5">
        <v>277.0</v>
      </c>
      <c r="G447" s="6">
        <v>4.0</v>
      </c>
      <c r="H447" s="7">
        <v>0.05</v>
      </c>
      <c r="I447" s="3" t="s">
        <v>65</v>
      </c>
      <c r="J447" s="3" t="s">
        <v>45</v>
      </c>
      <c r="K447" s="3" t="s">
        <v>121</v>
      </c>
      <c r="L447" s="3" t="s">
        <v>36</v>
      </c>
      <c r="M447" s="5">
        <v>1052.6</v>
      </c>
      <c r="N447" s="11">
        <f t="shared" si="1"/>
        <v>1108</v>
      </c>
    </row>
    <row r="448">
      <c r="A448" s="3" t="s">
        <v>2533</v>
      </c>
      <c r="B448" s="3" t="s">
        <v>2534</v>
      </c>
      <c r="C448" s="4">
        <v>45222.0</v>
      </c>
      <c r="D448" s="10" t="s">
        <v>2535</v>
      </c>
      <c r="E448" s="3" t="s">
        <v>200</v>
      </c>
      <c r="F448" s="5">
        <v>3307.0</v>
      </c>
      <c r="G448" s="6">
        <v>3.0</v>
      </c>
      <c r="H448" s="7">
        <v>0.18</v>
      </c>
      <c r="I448" s="3" t="s">
        <v>65</v>
      </c>
      <c r="J448" s="3" t="s">
        <v>56</v>
      </c>
      <c r="K448" s="3" t="s">
        <v>23</v>
      </c>
      <c r="L448" s="3" t="s">
        <v>36</v>
      </c>
      <c r="M448" s="5">
        <v>8135.22</v>
      </c>
      <c r="N448" s="11">
        <f t="shared" si="1"/>
        <v>9921</v>
      </c>
    </row>
    <row r="449">
      <c r="A449" s="3" t="s">
        <v>2538</v>
      </c>
      <c r="B449" s="3" t="s">
        <v>2539</v>
      </c>
      <c r="C449" s="4">
        <v>44951.0</v>
      </c>
      <c r="D449" s="10" t="s">
        <v>2540</v>
      </c>
      <c r="E449" s="3" t="s">
        <v>30</v>
      </c>
      <c r="F449" s="5">
        <v>497.0</v>
      </c>
      <c r="G449" s="6">
        <v>1.0</v>
      </c>
      <c r="H449" s="7">
        <v>0.2</v>
      </c>
      <c r="I449" s="3" t="s">
        <v>65</v>
      </c>
      <c r="J449" s="3" t="s">
        <v>45</v>
      </c>
      <c r="K449" s="3" t="s">
        <v>35</v>
      </c>
      <c r="L449" s="3" t="s">
        <v>46</v>
      </c>
      <c r="M449" s="5">
        <v>397.6</v>
      </c>
      <c r="N449" s="11">
        <f t="shared" si="1"/>
        <v>497</v>
      </c>
    </row>
    <row r="450">
      <c r="A450" s="3" t="s">
        <v>2543</v>
      </c>
      <c r="B450" s="3" t="s">
        <v>2544</v>
      </c>
      <c r="C450" s="4">
        <v>45113.0</v>
      </c>
      <c r="D450" s="10" t="s">
        <v>2546</v>
      </c>
      <c r="E450" s="3" t="s">
        <v>30</v>
      </c>
      <c r="F450" s="5">
        <v>7192.0</v>
      </c>
      <c r="G450" s="6">
        <v>1.0</v>
      </c>
      <c r="H450" s="7">
        <v>0.2</v>
      </c>
      <c r="I450" s="3" t="s">
        <v>55</v>
      </c>
      <c r="J450" s="3" t="s">
        <v>73</v>
      </c>
      <c r="K450" s="3" t="s">
        <v>121</v>
      </c>
      <c r="L450" s="3" t="s">
        <v>24</v>
      </c>
      <c r="M450" s="5">
        <v>5753.6</v>
      </c>
      <c r="N450" s="11">
        <f t="shared" si="1"/>
        <v>7192</v>
      </c>
    </row>
    <row r="451">
      <c r="A451" s="3" t="s">
        <v>2549</v>
      </c>
      <c r="B451" s="3" t="s">
        <v>2550</v>
      </c>
      <c r="C451" s="4">
        <v>45219.0</v>
      </c>
      <c r="D451" s="10" t="s">
        <v>2551</v>
      </c>
      <c r="E451" s="3" t="s">
        <v>30</v>
      </c>
      <c r="F451" s="5">
        <v>8787.0</v>
      </c>
      <c r="G451" s="6">
        <v>3.0</v>
      </c>
      <c r="H451" s="7">
        <v>0.18</v>
      </c>
      <c r="I451" s="3" t="s">
        <v>65</v>
      </c>
      <c r="J451" s="3" t="s">
        <v>73</v>
      </c>
      <c r="K451" s="3" t="s">
        <v>88</v>
      </c>
      <c r="L451" s="3" t="s">
        <v>24</v>
      </c>
      <c r="M451" s="5">
        <v>21616.02</v>
      </c>
      <c r="N451" s="11">
        <f t="shared" si="1"/>
        <v>26361</v>
      </c>
    </row>
    <row r="452">
      <c r="A452" s="3" t="s">
        <v>2554</v>
      </c>
      <c r="B452" s="3" t="s">
        <v>2555</v>
      </c>
      <c r="C452" s="4">
        <v>45282.0</v>
      </c>
      <c r="D452" s="10" t="s">
        <v>2557</v>
      </c>
      <c r="E452" s="3" t="s">
        <v>200</v>
      </c>
      <c r="F452" s="5">
        <v>5031.0</v>
      </c>
      <c r="G452" s="6">
        <v>4.0</v>
      </c>
      <c r="H452" s="7">
        <v>0.06</v>
      </c>
      <c r="I452" s="3" t="s">
        <v>21</v>
      </c>
      <c r="J452" s="3" t="s">
        <v>22</v>
      </c>
      <c r="K452" s="3" t="s">
        <v>88</v>
      </c>
      <c r="L452" s="3" t="s">
        <v>46</v>
      </c>
      <c r="M452" s="5">
        <v>18916.56</v>
      </c>
      <c r="N452" s="11">
        <f t="shared" si="1"/>
        <v>20124</v>
      </c>
    </row>
    <row r="453">
      <c r="A453" s="3" t="s">
        <v>2560</v>
      </c>
      <c r="B453" s="3" t="s">
        <v>2561</v>
      </c>
      <c r="C453" s="4">
        <v>45252.0</v>
      </c>
      <c r="D453" s="10" t="s">
        <v>2563</v>
      </c>
      <c r="E453" s="3" t="s">
        <v>17</v>
      </c>
      <c r="F453" s="5">
        <v>3630.0</v>
      </c>
      <c r="G453" s="6">
        <v>2.0</v>
      </c>
      <c r="H453" s="7">
        <v>0.07</v>
      </c>
      <c r="I453" s="3" t="s">
        <v>34</v>
      </c>
      <c r="J453" s="3" t="s">
        <v>45</v>
      </c>
      <c r="K453" s="3" t="s">
        <v>35</v>
      </c>
      <c r="L453" s="3" t="s">
        <v>46</v>
      </c>
      <c r="M453" s="5">
        <v>6751.8</v>
      </c>
      <c r="N453" s="11">
        <f t="shared" si="1"/>
        <v>7260</v>
      </c>
    </row>
    <row r="454">
      <c r="A454" s="3" t="s">
        <v>2566</v>
      </c>
      <c r="B454" s="3" t="s">
        <v>2567</v>
      </c>
      <c r="C454" s="4">
        <v>45061.0</v>
      </c>
      <c r="D454" s="10" t="s">
        <v>2569</v>
      </c>
      <c r="E454" s="3" t="s">
        <v>30</v>
      </c>
      <c r="F454" s="5">
        <v>2525.0</v>
      </c>
      <c r="G454" s="6">
        <v>3.0</v>
      </c>
      <c r="H454" s="7">
        <v>0.08</v>
      </c>
      <c r="I454" s="3" t="s">
        <v>55</v>
      </c>
      <c r="J454" s="3" t="s">
        <v>45</v>
      </c>
      <c r="K454" s="3" t="s">
        <v>88</v>
      </c>
      <c r="L454" s="3" t="s">
        <v>24</v>
      </c>
      <c r="M454" s="5">
        <v>6969.0</v>
      </c>
      <c r="N454" s="11">
        <f t="shared" si="1"/>
        <v>7575</v>
      </c>
    </row>
    <row r="455">
      <c r="A455" s="3" t="s">
        <v>2572</v>
      </c>
      <c r="B455" s="3" t="s">
        <v>2573</v>
      </c>
      <c r="C455" s="4">
        <v>44930.0</v>
      </c>
      <c r="D455" s="10" t="s">
        <v>2574</v>
      </c>
      <c r="E455" s="3" t="s">
        <v>17</v>
      </c>
      <c r="F455" s="5">
        <v>3110.0</v>
      </c>
      <c r="G455" s="6">
        <v>3.0</v>
      </c>
      <c r="H455" s="7">
        <v>0.19</v>
      </c>
      <c r="I455" s="3" t="s">
        <v>34</v>
      </c>
      <c r="J455" s="3" t="s">
        <v>45</v>
      </c>
      <c r="K455" s="3" t="s">
        <v>81</v>
      </c>
      <c r="L455" s="3" t="s">
        <v>36</v>
      </c>
      <c r="M455" s="5">
        <v>7557.3</v>
      </c>
      <c r="N455" s="11">
        <f t="shared" si="1"/>
        <v>9330</v>
      </c>
    </row>
    <row r="456">
      <c r="A456" s="3" t="s">
        <v>2577</v>
      </c>
      <c r="B456" s="3" t="s">
        <v>2578</v>
      </c>
      <c r="C456" s="4">
        <v>45153.0</v>
      </c>
      <c r="D456" s="10" t="s">
        <v>2579</v>
      </c>
      <c r="E456" s="3" t="s">
        <v>17</v>
      </c>
      <c r="F456" s="5">
        <v>4427.0</v>
      </c>
      <c r="G456" s="6">
        <v>1.0</v>
      </c>
      <c r="H456" s="7">
        <v>0.13</v>
      </c>
      <c r="I456" s="3" t="s">
        <v>34</v>
      </c>
      <c r="J456" s="3" t="s">
        <v>56</v>
      </c>
      <c r="K456" s="3" t="s">
        <v>81</v>
      </c>
      <c r="L456" s="3" t="s">
        <v>36</v>
      </c>
      <c r="M456" s="5">
        <v>3851.49</v>
      </c>
      <c r="N456" s="11">
        <f t="shared" si="1"/>
        <v>4427</v>
      </c>
    </row>
    <row r="457">
      <c r="A457" s="3" t="s">
        <v>2582</v>
      </c>
      <c r="B457" s="3" t="s">
        <v>2583</v>
      </c>
      <c r="C457" s="4">
        <v>45095.0</v>
      </c>
      <c r="D457" s="10" t="s">
        <v>2584</v>
      </c>
      <c r="E457" s="3" t="s">
        <v>30</v>
      </c>
      <c r="F457" s="5">
        <v>5813.0</v>
      </c>
      <c r="G457" s="6">
        <v>3.0</v>
      </c>
      <c r="H457" s="7">
        <v>0.17</v>
      </c>
      <c r="I457" s="3" t="s">
        <v>21</v>
      </c>
      <c r="J457" s="3" t="s">
        <v>22</v>
      </c>
      <c r="K457" s="3" t="s">
        <v>88</v>
      </c>
      <c r="L457" s="3" t="s">
        <v>36</v>
      </c>
      <c r="M457" s="5">
        <v>14474.37</v>
      </c>
      <c r="N457" s="11">
        <f t="shared" si="1"/>
        <v>17439</v>
      </c>
    </row>
    <row r="458">
      <c r="A458" s="3" t="s">
        <v>2587</v>
      </c>
      <c r="B458" s="3" t="s">
        <v>2588</v>
      </c>
      <c r="C458" s="4">
        <v>45211.0</v>
      </c>
      <c r="D458" s="10" t="s">
        <v>2589</v>
      </c>
      <c r="E458" s="3" t="s">
        <v>17</v>
      </c>
      <c r="F458" s="5">
        <v>9563.0</v>
      </c>
      <c r="G458" s="6">
        <v>2.0</v>
      </c>
      <c r="H458" s="7">
        <v>0.14</v>
      </c>
      <c r="I458" s="3" t="s">
        <v>55</v>
      </c>
      <c r="J458" s="3" t="s">
        <v>45</v>
      </c>
      <c r="K458" s="3" t="s">
        <v>121</v>
      </c>
      <c r="L458" s="3" t="s">
        <v>24</v>
      </c>
      <c r="M458" s="5">
        <v>16448.36</v>
      </c>
      <c r="N458" s="11">
        <f t="shared" si="1"/>
        <v>19126</v>
      </c>
    </row>
    <row r="459">
      <c r="A459" s="3" t="s">
        <v>2592</v>
      </c>
      <c r="B459" s="3" t="s">
        <v>2593</v>
      </c>
      <c r="C459" s="4">
        <v>45251.0</v>
      </c>
      <c r="D459" s="10" t="s">
        <v>2594</v>
      </c>
      <c r="E459" s="3" t="s">
        <v>42</v>
      </c>
      <c r="F459" s="5">
        <v>4178.0</v>
      </c>
      <c r="G459" s="6">
        <v>3.0</v>
      </c>
      <c r="H459" s="7">
        <v>0.14</v>
      </c>
      <c r="I459" s="3" t="s">
        <v>65</v>
      </c>
      <c r="J459" s="3" t="s">
        <v>22</v>
      </c>
      <c r="K459" s="3" t="s">
        <v>121</v>
      </c>
      <c r="L459" s="3" t="s">
        <v>46</v>
      </c>
      <c r="M459" s="5">
        <v>10779.24</v>
      </c>
      <c r="N459" s="11">
        <f t="shared" si="1"/>
        <v>12534</v>
      </c>
    </row>
    <row r="460">
      <c r="A460" s="3" t="s">
        <v>2597</v>
      </c>
      <c r="B460" s="3" t="s">
        <v>2598</v>
      </c>
      <c r="C460" s="4">
        <v>44953.0</v>
      </c>
      <c r="D460" s="10" t="s">
        <v>2600</v>
      </c>
      <c r="E460" s="3" t="s">
        <v>30</v>
      </c>
      <c r="F460" s="5">
        <v>2926.0</v>
      </c>
      <c r="G460" s="6">
        <v>3.0</v>
      </c>
      <c r="H460" s="7">
        <v>0.07</v>
      </c>
      <c r="I460" s="3" t="s">
        <v>55</v>
      </c>
      <c r="J460" s="3" t="s">
        <v>73</v>
      </c>
      <c r="K460" s="3" t="s">
        <v>23</v>
      </c>
      <c r="L460" s="3" t="s">
        <v>36</v>
      </c>
      <c r="M460" s="5">
        <v>8163.54</v>
      </c>
      <c r="N460" s="11">
        <f t="shared" si="1"/>
        <v>8778</v>
      </c>
    </row>
    <row r="461">
      <c r="A461" s="3" t="s">
        <v>2603</v>
      </c>
      <c r="B461" s="3" t="s">
        <v>2604</v>
      </c>
      <c r="C461" s="4">
        <v>45151.0</v>
      </c>
      <c r="D461" s="10" t="s">
        <v>2606</v>
      </c>
      <c r="E461" s="3" t="s">
        <v>200</v>
      </c>
      <c r="F461" s="5">
        <v>5362.0</v>
      </c>
      <c r="G461" s="6">
        <v>1.0</v>
      </c>
      <c r="H461" s="7">
        <v>0.13</v>
      </c>
      <c r="I461" s="3" t="s">
        <v>65</v>
      </c>
      <c r="J461" s="3" t="s">
        <v>73</v>
      </c>
      <c r="K461" s="3" t="s">
        <v>35</v>
      </c>
      <c r="L461" s="3" t="s">
        <v>24</v>
      </c>
      <c r="M461" s="5">
        <v>4664.94</v>
      </c>
      <c r="N461" s="11">
        <f t="shared" si="1"/>
        <v>5362</v>
      </c>
    </row>
    <row r="462">
      <c r="A462" s="3" t="s">
        <v>2609</v>
      </c>
      <c r="B462" s="3" t="s">
        <v>2610</v>
      </c>
      <c r="C462" s="4">
        <v>45175.0</v>
      </c>
      <c r="D462" s="10" t="s">
        <v>2611</v>
      </c>
      <c r="E462" s="3" t="s">
        <v>30</v>
      </c>
      <c r="F462" s="5">
        <v>3435.0</v>
      </c>
      <c r="G462" s="6">
        <v>2.0</v>
      </c>
      <c r="H462" s="7">
        <v>0.07</v>
      </c>
      <c r="I462" s="3" t="s">
        <v>34</v>
      </c>
      <c r="J462" s="3" t="s">
        <v>56</v>
      </c>
      <c r="K462" s="3" t="s">
        <v>88</v>
      </c>
      <c r="L462" s="3" t="s">
        <v>36</v>
      </c>
      <c r="M462" s="5">
        <v>6389.1</v>
      </c>
      <c r="N462" s="11">
        <f t="shared" si="1"/>
        <v>6870</v>
      </c>
    </row>
    <row r="463">
      <c r="A463" s="3" t="s">
        <v>2614</v>
      </c>
      <c r="B463" s="3" t="s">
        <v>2615</v>
      </c>
      <c r="C463" s="4">
        <v>45128.0</v>
      </c>
      <c r="D463" s="10" t="s">
        <v>2616</v>
      </c>
      <c r="E463" s="3" t="s">
        <v>42</v>
      </c>
      <c r="F463" s="5">
        <v>9030.0</v>
      </c>
      <c r="G463" s="6">
        <v>2.0</v>
      </c>
      <c r="H463" s="7">
        <v>0.17</v>
      </c>
      <c r="I463" s="3" t="s">
        <v>65</v>
      </c>
      <c r="J463" s="3" t="s">
        <v>22</v>
      </c>
      <c r="K463" s="3" t="s">
        <v>88</v>
      </c>
      <c r="L463" s="3" t="s">
        <v>24</v>
      </c>
      <c r="M463" s="5">
        <v>14989.8</v>
      </c>
      <c r="N463" s="11">
        <f t="shared" si="1"/>
        <v>18060</v>
      </c>
    </row>
    <row r="464">
      <c r="A464" s="3" t="s">
        <v>2619</v>
      </c>
      <c r="B464" s="3" t="s">
        <v>2620</v>
      </c>
      <c r="C464" s="4">
        <v>45124.0</v>
      </c>
      <c r="D464" s="10" t="s">
        <v>2621</v>
      </c>
      <c r="E464" s="3" t="s">
        <v>30</v>
      </c>
      <c r="F464" s="5">
        <v>3785.0</v>
      </c>
      <c r="G464" s="6">
        <v>4.0</v>
      </c>
      <c r="H464" s="7">
        <v>0.1</v>
      </c>
      <c r="I464" s="3" t="s">
        <v>34</v>
      </c>
      <c r="J464" s="3" t="s">
        <v>73</v>
      </c>
      <c r="K464" s="3" t="s">
        <v>23</v>
      </c>
      <c r="L464" s="3" t="s">
        <v>36</v>
      </c>
      <c r="M464" s="5">
        <v>13626.0</v>
      </c>
      <c r="N464" s="11">
        <f t="shared" si="1"/>
        <v>15140</v>
      </c>
    </row>
    <row r="465">
      <c r="A465" s="3" t="s">
        <v>2624</v>
      </c>
      <c r="B465" s="3" t="s">
        <v>2625</v>
      </c>
      <c r="C465" s="4">
        <v>45062.0</v>
      </c>
      <c r="D465" s="10" t="s">
        <v>2626</v>
      </c>
      <c r="E465" s="3" t="s">
        <v>42</v>
      </c>
      <c r="F465" s="5">
        <v>4488.0</v>
      </c>
      <c r="G465" s="6">
        <v>1.0</v>
      </c>
      <c r="H465" s="7">
        <v>0.06</v>
      </c>
      <c r="I465" s="3" t="s">
        <v>21</v>
      </c>
      <c r="J465" s="3" t="s">
        <v>73</v>
      </c>
      <c r="K465" s="3" t="s">
        <v>35</v>
      </c>
      <c r="L465" s="3" t="s">
        <v>24</v>
      </c>
      <c r="M465" s="5">
        <v>4218.72</v>
      </c>
      <c r="N465" s="11">
        <f t="shared" si="1"/>
        <v>4488</v>
      </c>
    </row>
    <row r="466">
      <c r="A466" s="3" t="s">
        <v>2629</v>
      </c>
      <c r="B466" s="3" t="s">
        <v>2630</v>
      </c>
      <c r="C466" s="4">
        <v>45052.0</v>
      </c>
      <c r="D466" s="10" t="s">
        <v>2631</v>
      </c>
      <c r="E466" s="3" t="s">
        <v>30</v>
      </c>
      <c r="F466" s="5">
        <v>6352.0</v>
      </c>
      <c r="G466" s="6">
        <v>2.0</v>
      </c>
      <c r="H466" s="7">
        <v>0.08</v>
      </c>
      <c r="I466" s="3" t="s">
        <v>34</v>
      </c>
      <c r="J466" s="3" t="s">
        <v>56</v>
      </c>
      <c r="K466" s="3" t="s">
        <v>121</v>
      </c>
      <c r="L466" s="3" t="s">
        <v>24</v>
      </c>
      <c r="M466" s="5">
        <v>11687.68</v>
      </c>
      <c r="N466" s="11">
        <f t="shared" si="1"/>
        <v>12704</v>
      </c>
    </row>
    <row r="467">
      <c r="A467" s="3" t="s">
        <v>2634</v>
      </c>
      <c r="B467" s="3" t="s">
        <v>2635</v>
      </c>
      <c r="C467" s="4">
        <v>45021.0</v>
      </c>
      <c r="D467" s="10" t="s">
        <v>2636</v>
      </c>
      <c r="E467" s="3" t="s">
        <v>200</v>
      </c>
      <c r="F467" s="5">
        <v>491.0</v>
      </c>
      <c r="G467" s="6">
        <v>2.0</v>
      </c>
      <c r="H467" s="7">
        <v>0.13</v>
      </c>
      <c r="I467" s="3" t="s">
        <v>34</v>
      </c>
      <c r="J467" s="3" t="s">
        <v>22</v>
      </c>
      <c r="K467" s="3" t="s">
        <v>121</v>
      </c>
      <c r="L467" s="3" t="s">
        <v>24</v>
      </c>
      <c r="M467" s="5">
        <v>854.34</v>
      </c>
      <c r="N467" s="11">
        <f t="shared" si="1"/>
        <v>982</v>
      </c>
    </row>
    <row r="468">
      <c r="A468" s="3" t="s">
        <v>2639</v>
      </c>
      <c r="B468" s="3" t="s">
        <v>2640</v>
      </c>
      <c r="C468" s="4">
        <v>44999.0</v>
      </c>
      <c r="D468" s="10" t="s">
        <v>2641</v>
      </c>
      <c r="E468" s="3" t="s">
        <v>200</v>
      </c>
      <c r="F468" s="5">
        <v>2912.0</v>
      </c>
      <c r="G468" s="6">
        <v>3.0</v>
      </c>
      <c r="H468" s="7">
        <v>0.17</v>
      </c>
      <c r="I468" s="3" t="s">
        <v>65</v>
      </c>
      <c r="J468" s="3" t="s">
        <v>45</v>
      </c>
      <c r="K468" s="3" t="s">
        <v>88</v>
      </c>
      <c r="L468" s="3" t="s">
        <v>24</v>
      </c>
      <c r="M468" s="5">
        <v>7250.88</v>
      </c>
      <c r="N468" s="11">
        <f t="shared" si="1"/>
        <v>8736</v>
      </c>
    </row>
    <row r="469">
      <c r="A469" s="3" t="s">
        <v>2644</v>
      </c>
      <c r="B469" s="3" t="s">
        <v>2645</v>
      </c>
      <c r="C469" s="4">
        <v>45173.0</v>
      </c>
      <c r="D469" s="10" t="s">
        <v>2647</v>
      </c>
      <c r="E469" s="3" t="s">
        <v>17</v>
      </c>
      <c r="F469" s="5">
        <v>7132.0</v>
      </c>
      <c r="G469" s="6">
        <v>4.0</v>
      </c>
      <c r="H469" s="7">
        <v>0.14</v>
      </c>
      <c r="I469" s="3" t="s">
        <v>34</v>
      </c>
      <c r="J469" s="3" t="s">
        <v>22</v>
      </c>
      <c r="K469" s="3" t="s">
        <v>121</v>
      </c>
      <c r="L469" s="3" t="s">
        <v>36</v>
      </c>
      <c r="M469" s="5">
        <v>24534.08</v>
      </c>
      <c r="N469" s="11">
        <f t="shared" si="1"/>
        <v>28528</v>
      </c>
    </row>
    <row r="470">
      <c r="A470" s="3" t="s">
        <v>2650</v>
      </c>
      <c r="B470" s="3" t="s">
        <v>2651</v>
      </c>
      <c r="C470" s="4">
        <v>45267.0</v>
      </c>
      <c r="D470" s="10" t="s">
        <v>2652</v>
      </c>
      <c r="E470" s="3" t="s">
        <v>42</v>
      </c>
      <c r="F470" s="5">
        <v>6963.0</v>
      </c>
      <c r="G470" s="6">
        <v>1.0</v>
      </c>
      <c r="H470" s="7">
        <v>0.05</v>
      </c>
      <c r="I470" s="3" t="s">
        <v>55</v>
      </c>
      <c r="J470" s="3" t="s">
        <v>56</v>
      </c>
      <c r="K470" s="3" t="s">
        <v>81</v>
      </c>
      <c r="L470" s="3" t="s">
        <v>24</v>
      </c>
      <c r="M470" s="5">
        <v>6614.85</v>
      </c>
      <c r="N470" s="11">
        <f t="shared" si="1"/>
        <v>6963</v>
      </c>
    </row>
    <row r="471">
      <c r="A471" s="3" t="s">
        <v>2655</v>
      </c>
      <c r="B471" s="3" t="s">
        <v>2656</v>
      </c>
      <c r="C471" s="4">
        <v>45062.0</v>
      </c>
      <c r="D471" s="10" t="s">
        <v>2657</v>
      </c>
      <c r="E471" s="3" t="s">
        <v>17</v>
      </c>
      <c r="F471" s="5">
        <v>694.0</v>
      </c>
      <c r="G471" s="6">
        <v>2.0</v>
      </c>
      <c r="H471" s="7">
        <v>0.08</v>
      </c>
      <c r="I471" s="3" t="s">
        <v>34</v>
      </c>
      <c r="J471" s="3" t="s">
        <v>56</v>
      </c>
      <c r="K471" s="3" t="s">
        <v>88</v>
      </c>
      <c r="L471" s="3" t="s">
        <v>36</v>
      </c>
      <c r="M471" s="5">
        <v>1276.96</v>
      </c>
      <c r="N471" s="11">
        <f t="shared" si="1"/>
        <v>1388</v>
      </c>
    </row>
    <row r="472">
      <c r="A472" s="3" t="s">
        <v>2660</v>
      </c>
      <c r="B472" s="3" t="s">
        <v>2661</v>
      </c>
      <c r="C472" s="4">
        <v>45122.0</v>
      </c>
      <c r="D472" s="10" t="s">
        <v>2662</v>
      </c>
      <c r="E472" s="3" t="s">
        <v>17</v>
      </c>
      <c r="F472" s="5">
        <v>9956.0</v>
      </c>
      <c r="G472" s="6">
        <v>4.0</v>
      </c>
      <c r="H472" s="7">
        <v>0.12</v>
      </c>
      <c r="I472" s="3" t="s">
        <v>34</v>
      </c>
      <c r="J472" s="3" t="s">
        <v>56</v>
      </c>
      <c r="K472" s="3" t="s">
        <v>88</v>
      </c>
      <c r="L472" s="3" t="s">
        <v>36</v>
      </c>
      <c r="M472" s="5">
        <v>35045.12</v>
      </c>
      <c r="N472" s="11">
        <f t="shared" si="1"/>
        <v>39824</v>
      </c>
    </row>
    <row r="473">
      <c r="A473" s="3" t="s">
        <v>2665</v>
      </c>
      <c r="B473" s="3" t="s">
        <v>2666</v>
      </c>
      <c r="C473" s="4">
        <v>45140.0</v>
      </c>
      <c r="D473" s="10" t="s">
        <v>2668</v>
      </c>
      <c r="E473" s="3" t="s">
        <v>30</v>
      </c>
      <c r="F473" s="5">
        <v>3739.0</v>
      </c>
      <c r="G473" s="6">
        <v>1.0</v>
      </c>
      <c r="H473" s="7">
        <v>0.05</v>
      </c>
      <c r="I473" s="3" t="s">
        <v>65</v>
      </c>
      <c r="J473" s="3" t="s">
        <v>22</v>
      </c>
      <c r="K473" s="3" t="s">
        <v>23</v>
      </c>
      <c r="L473" s="3" t="s">
        <v>36</v>
      </c>
      <c r="M473" s="5">
        <v>3552.05</v>
      </c>
      <c r="N473" s="11">
        <f t="shared" si="1"/>
        <v>3739</v>
      </c>
    </row>
    <row r="474">
      <c r="A474" s="3" t="s">
        <v>2671</v>
      </c>
      <c r="B474" s="3" t="s">
        <v>2672</v>
      </c>
      <c r="C474" s="4">
        <v>45035.0</v>
      </c>
      <c r="D474" s="10" t="s">
        <v>2674</v>
      </c>
      <c r="E474" s="3" t="s">
        <v>42</v>
      </c>
      <c r="F474" s="5">
        <v>7238.0</v>
      </c>
      <c r="G474" s="6">
        <v>3.0</v>
      </c>
      <c r="H474" s="7">
        <v>0.13</v>
      </c>
      <c r="I474" s="3" t="s">
        <v>21</v>
      </c>
      <c r="J474" s="3" t="s">
        <v>73</v>
      </c>
      <c r="K474" s="3" t="s">
        <v>35</v>
      </c>
      <c r="L474" s="3" t="s">
        <v>36</v>
      </c>
      <c r="M474" s="5">
        <v>18891.18</v>
      </c>
      <c r="N474" s="11">
        <f t="shared" si="1"/>
        <v>21714</v>
      </c>
    </row>
    <row r="475">
      <c r="A475" s="3" t="s">
        <v>2677</v>
      </c>
      <c r="B475" s="3" t="s">
        <v>2678</v>
      </c>
      <c r="C475" s="4">
        <v>45250.0</v>
      </c>
      <c r="D475" s="10" t="s">
        <v>2679</v>
      </c>
      <c r="E475" s="3" t="s">
        <v>52</v>
      </c>
      <c r="F475" s="5">
        <v>1868.0</v>
      </c>
      <c r="G475" s="6">
        <v>2.0</v>
      </c>
      <c r="H475" s="7">
        <v>0.11</v>
      </c>
      <c r="I475" s="3" t="s">
        <v>21</v>
      </c>
      <c r="J475" s="3" t="s">
        <v>56</v>
      </c>
      <c r="K475" s="3" t="s">
        <v>121</v>
      </c>
      <c r="L475" s="3" t="s">
        <v>36</v>
      </c>
      <c r="M475" s="5">
        <v>3325.04</v>
      </c>
      <c r="N475" s="11">
        <f t="shared" si="1"/>
        <v>3736</v>
      </c>
    </row>
    <row r="476">
      <c r="A476" s="3" t="s">
        <v>2682</v>
      </c>
      <c r="B476" s="3" t="s">
        <v>2683</v>
      </c>
      <c r="C476" s="4">
        <v>45029.0</v>
      </c>
      <c r="D476" s="10" t="s">
        <v>2685</v>
      </c>
      <c r="E476" s="3" t="s">
        <v>200</v>
      </c>
      <c r="F476" s="5">
        <v>9406.0</v>
      </c>
      <c r="G476" s="6">
        <v>4.0</v>
      </c>
      <c r="H476" s="7">
        <v>0.08</v>
      </c>
      <c r="I476" s="3" t="s">
        <v>21</v>
      </c>
      <c r="J476" s="3" t="s">
        <v>45</v>
      </c>
      <c r="K476" s="3" t="s">
        <v>23</v>
      </c>
      <c r="L476" s="3" t="s">
        <v>46</v>
      </c>
      <c r="M476" s="5">
        <v>34614.08</v>
      </c>
      <c r="N476" s="11">
        <f t="shared" si="1"/>
        <v>37624</v>
      </c>
    </row>
    <row r="477">
      <c r="A477" s="3" t="s">
        <v>2688</v>
      </c>
      <c r="B477" s="3" t="s">
        <v>2689</v>
      </c>
      <c r="C477" s="4">
        <v>45267.0</v>
      </c>
      <c r="D477" s="10" t="s">
        <v>2690</v>
      </c>
      <c r="E477" s="3" t="s">
        <v>17</v>
      </c>
      <c r="F477" s="5">
        <v>328.0</v>
      </c>
      <c r="G477" s="6">
        <v>1.0</v>
      </c>
      <c r="H477" s="7">
        <v>0.08</v>
      </c>
      <c r="I477" s="3" t="s">
        <v>55</v>
      </c>
      <c r="J477" s="3" t="s">
        <v>73</v>
      </c>
      <c r="K477" s="3" t="s">
        <v>81</v>
      </c>
      <c r="L477" s="3" t="s">
        <v>24</v>
      </c>
      <c r="M477" s="5">
        <v>301.76</v>
      </c>
      <c r="N477" s="11">
        <f t="shared" si="1"/>
        <v>328</v>
      </c>
    </row>
    <row r="478">
      <c r="A478" s="3" t="s">
        <v>2693</v>
      </c>
      <c r="B478" s="3" t="s">
        <v>2694</v>
      </c>
      <c r="C478" s="4">
        <v>45254.0</v>
      </c>
      <c r="D478" s="10" t="s">
        <v>2695</v>
      </c>
      <c r="E478" s="3" t="s">
        <v>17</v>
      </c>
      <c r="F478" s="5">
        <v>8723.0</v>
      </c>
      <c r="G478" s="6">
        <v>2.0</v>
      </c>
      <c r="H478" s="7">
        <v>0.05</v>
      </c>
      <c r="I478" s="3" t="s">
        <v>34</v>
      </c>
      <c r="J478" s="3" t="s">
        <v>73</v>
      </c>
      <c r="K478" s="3" t="s">
        <v>23</v>
      </c>
      <c r="L478" s="3" t="s">
        <v>24</v>
      </c>
      <c r="M478" s="5">
        <v>16573.7</v>
      </c>
      <c r="N478" s="11">
        <f t="shared" si="1"/>
        <v>17446</v>
      </c>
    </row>
    <row r="479">
      <c r="A479" s="3" t="s">
        <v>2698</v>
      </c>
      <c r="B479" s="3" t="s">
        <v>2699</v>
      </c>
      <c r="C479" s="4">
        <v>45010.0</v>
      </c>
      <c r="D479" s="10" t="s">
        <v>2700</v>
      </c>
      <c r="E479" s="3" t="s">
        <v>30</v>
      </c>
      <c r="F479" s="5">
        <v>4526.0</v>
      </c>
      <c r="G479" s="6">
        <v>1.0</v>
      </c>
      <c r="H479" s="7">
        <v>0.17</v>
      </c>
      <c r="I479" s="3" t="s">
        <v>55</v>
      </c>
      <c r="J479" s="3" t="s">
        <v>73</v>
      </c>
      <c r="K479" s="3" t="s">
        <v>81</v>
      </c>
      <c r="L479" s="3" t="s">
        <v>46</v>
      </c>
      <c r="M479" s="5">
        <v>3756.58</v>
      </c>
      <c r="N479" s="11">
        <f t="shared" si="1"/>
        <v>4526</v>
      </c>
    </row>
    <row r="480">
      <c r="A480" s="3" t="s">
        <v>2703</v>
      </c>
      <c r="B480" s="3" t="s">
        <v>2704</v>
      </c>
      <c r="C480" s="4">
        <v>45150.0</v>
      </c>
      <c r="D480" s="10" t="s">
        <v>2705</v>
      </c>
      <c r="E480" s="3" t="s">
        <v>30</v>
      </c>
      <c r="F480" s="5">
        <v>1336.0</v>
      </c>
      <c r="G480" s="6">
        <v>3.0</v>
      </c>
      <c r="H480" s="7">
        <v>0.11</v>
      </c>
      <c r="I480" s="3" t="s">
        <v>34</v>
      </c>
      <c r="J480" s="3" t="s">
        <v>56</v>
      </c>
      <c r="K480" s="3" t="s">
        <v>121</v>
      </c>
      <c r="L480" s="3" t="s">
        <v>36</v>
      </c>
      <c r="M480" s="5">
        <v>3567.12</v>
      </c>
      <c r="N480" s="11">
        <f t="shared" si="1"/>
        <v>4008</v>
      </c>
    </row>
    <row r="481">
      <c r="A481" s="3" t="s">
        <v>2708</v>
      </c>
      <c r="B481" s="3" t="s">
        <v>2709</v>
      </c>
      <c r="C481" s="4">
        <v>45183.0</v>
      </c>
      <c r="D481" s="10" t="s">
        <v>2710</v>
      </c>
      <c r="E481" s="3" t="s">
        <v>42</v>
      </c>
      <c r="F481" s="5">
        <v>674.0</v>
      </c>
      <c r="G481" s="6">
        <v>3.0</v>
      </c>
      <c r="H481" s="7">
        <v>0.05</v>
      </c>
      <c r="I481" s="3" t="s">
        <v>65</v>
      </c>
      <c r="J481" s="3" t="s">
        <v>56</v>
      </c>
      <c r="K481" s="3" t="s">
        <v>88</v>
      </c>
      <c r="L481" s="3" t="s">
        <v>46</v>
      </c>
      <c r="M481" s="5">
        <v>1920.9</v>
      </c>
      <c r="N481" s="11">
        <f t="shared" si="1"/>
        <v>2022</v>
      </c>
    </row>
    <row r="482">
      <c r="A482" s="3" t="s">
        <v>2713</v>
      </c>
      <c r="B482" s="3" t="s">
        <v>2714</v>
      </c>
      <c r="C482" s="4">
        <v>45060.0</v>
      </c>
      <c r="D482" s="10" t="s">
        <v>2715</v>
      </c>
      <c r="E482" s="3" t="s">
        <v>52</v>
      </c>
      <c r="F482" s="5">
        <v>3445.0</v>
      </c>
      <c r="G482" s="6">
        <v>4.0</v>
      </c>
      <c r="H482" s="7">
        <v>0.17</v>
      </c>
      <c r="I482" s="3" t="s">
        <v>55</v>
      </c>
      <c r="J482" s="3" t="s">
        <v>22</v>
      </c>
      <c r="K482" s="3" t="s">
        <v>121</v>
      </c>
      <c r="L482" s="3" t="s">
        <v>24</v>
      </c>
      <c r="M482" s="5">
        <v>11437.4</v>
      </c>
      <c r="N482" s="11">
        <f t="shared" si="1"/>
        <v>13780</v>
      </c>
    </row>
    <row r="483">
      <c r="A483" s="3" t="s">
        <v>2717</v>
      </c>
      <c r="B483" s="3" t="s">
        <v>2718</v>
      </c>
      <c r="C483" s="4">
        <v>45274.0</v>
      </c>
      <c r="D483" s="10" t="s">
        <v>2719</v>
      </c>
      <c r="E483" s="3" t="s">
        <v>200</v>
      </c>
      <c r="F483" s="5">
        <v>7920.0</v>
      </c>
      <c r="G483" s="6">
        <v>4.0</v>
      </c>
      <c r="H483" s="7">
        <v>0.15</v>
      </c>
      <c r="I483" s="3" t="s">
        <v>34</v>
      </c>
      <c r="J483" s="3" t="s">
        <v>73</v>
      </c>
      <c r="K483" s="3" t="s">
        <v>81</v>
      </c>
      <c r="L483" s="3" t="s">
        <v>36</v>
      </c>
      <c r="M483" s="5">
        <v>26928.0</v>
      </c>
      <c r="N483" s="11">
        <f t="shared" si="1"/>
        <v>31680</v>
      </c>
    </row>
    <row r="484">
      <c r="A484" s="3" t="s">
        <v>2722</v>
      </c>
      <c r="B484" s="3" t="s">
        <v>2723</v>
      </c>
      <c r="C484" s="4">
        <v>45034.0</v>
      </c>
      <c r="D484" s="10" t="s">
        <v>2725</v>
      </c>
      <c r="E484" s="3" t="s">
        <v>42</v>
      </c>
      <c r="F484" s="5">
        <v>7985.0</v>
      </c>
      <c r="G484" s="6">
        <v>2.0</v>
      </c>
      <c r="H484" s="7">
        <v>0.06</v>
      </c>
      <c r="I484" s="3" t="s">
        <v>21</v>
      </c>
      <c r="J484" s="3" t="s">
        <v>22</v>
      </c>
      <c r="K484" s="3" t="s">
        <v>23</v>
      </c>
      <c r="L484" s="3" t="s">
        <v>36</v>
      </c>
      <c r="M484" s="5">
        <v>15011.8</v>
      </c>
      <c r="N484" s="11">
        <f t="shared" si="1"/>
        <v>15970</v>
      </c>
    </row>
    <row r="485">
      <c r="A485" s="3" t="s">
        <v>2728</v>
      </c>
      <c r="B485" s="3" t="s">
        <v>2729</v>
      </c>
      <c r="C485" s="4">
        <v>44934.0</v>
      </c>
      <c r="D485" s="10" t="s">
        <v>2730</v>
      </c>
      <c r="E485" s="3" t="s">
        <v>42</v>
      </c>
      <c r="F485" s="5">
        <v>830.0</v>
      </c>
      <c r="G485" s="6">
        <v>4.0</v>
      </c>
      <c r="H485" s="7">
        <v>0.19</v>
      </c>
      <c r="I485" s="3" t="s">
        <v>55</v>
      </c>
      <c r="J485" s="3" t="s">
        <v>45</v>
      </c>
      <c r="K485" s="3" t="s">
        <v>35</v>
      </c>
      <c r="L485" s="3" t="s">
        <v>24</v>
      </c>
      <c r="M485" s="5">
        <v>2689.2</v>
      </c>
      <c r="N485" s="11">
        <f t="shared" si="1"/>
        <v>3320</v>
      </c>
    </row>
    <row r="486">
      <c r="A486" s="3" t="s">
        <v>2733</v>
      </c>
      <c r="B486" s="3" t="s">
        <v>2734</v>
      </c>
      <c r="C486" s="4">
        <v>45076.0</v>
      </c>
      <c r="D486" s="10" t="s">
        <v>2735</v>
      </c>
      <c r="E486" s="3" t="s">
        <v>17</v>
      </c>
      <c r="F486" s="5">
        <v>7273.0</v>
      </c>
      <c r="G486" s="6">
        <v>2.0</v>
      </c>
      <c r="H486" s="7">
        <v>0.13</v>
      </c>
      <c r="I486" s="3" t="s">
        <v>34</v>
      </c>
      <c r="J486" s="3" t="s">
        <v>45</v>
      </c>
      <c r="K486" s="3" t="s">
        <v>81</v>
      </c>
      <c r="L486" s="3" t="s">
        <v>36</v>
      </c>
      <c r="M486" s="5">
        <v>12655.02</v>
      </c>
      <c r="N486" s="11">
        <f t="shared" si="1"/>
        <v>14546</v>
      </c>
    </row>
    <row r="487">
      <c r="A487" s="3" t="s">
        <v>2738</v>
      </c>
      <c r="B487" s="3" t="s">
        <v>2739</v>
      </c>
      <c r="C487" s="4">
        <v>45098.0</v>
      </c>
      <c r="D487" s="10" t="s">
        <v>2741</v>
      </c>
      <c r="E487" s="3" t="s">
        <v>17</v>
      </c>
      <c r="F487" s="5">
        <v>2445.0</v>
      </c>
      <c r="G487" s="6">
        <v>1.0</v>
      </c>
      <c r="H487" s="7">
        <v>0.16</v>
      </c>
      <c r="I487" s="3" t="s">
        <v>21</v>
      </c>
      <c r="J487" s="3" t="s">
        <v>73</v>
      </c>
      <c r="K487" s="3" t="s">
        <v>88</v>
      </c>
      <c r="L487" s="3" t="s">
        <v>36</v>
      </c>
      <c r="M487" s="5">
        <v>2053.8</v>
      </c>
      <c r="N487" s="11">
        <f t="shared" si="1"/>
        <v>2445</v>
      </c>
    </row>
    <row r="488">
      <c r="A488" s="3" t="s">
        <v>2744</v>
      </c>
      <c r="B488" s="3" t="s">
        <v>2745</v>
      </c>
      <c r="C488" s="4">
        <v>44973.0</v>
      </c>
      <c r="D488" s="10" t="s">
        <v>2747</v>
      </c>
      <c r="E488" s="3" t="s">
        <v>42</v>
      </c>
      <c r="F488" s="5">
        <v>4903.0</v>
      </c>
      <c r="G488" s="6">
        <v>2.0</v>
      </c>
      <c r="H488" s="7">
        <v>0.15</v>
      </c>
      <c r="I488" s="3" t="s">
        <v>65</v>
      </c>
      <c r="J488" s="3" t="s">
        <v>22</v>
      </c>
      <c r="K488" s="3" t="s">
        <v>88</v>
      </c>
      <c r="L488" s="3" t="s">
        <v>36</v>
      </c>
      <c r="M488" s="5">
        <v>8335.1</v>
      </c>
      <c r="N488" s="11">
        <f t="shared" si="1"/>
        <v>9806</v>
      </c>
    </row>
    <row r="489">
      <c r="A489" s="3" t="s">
        <v>2750</v>
      </c>
      <c r="B489" s="3" t="s">
        <v>2751</v>
      </c>
      <c r="C489" s="4">
        <v>44927.0</v>
      </c>
      <c r="D489" s="10" t="s">
        <v>2752</v>
      </c>
      <c r="E489" s="3" t="s">
        <v>200</v>
      </c>
      <c r="F489" s="5">
        <v>1059.0</v>
      </c>
      <c r="G489" s="6">
        <v>3.0</v>
      </c>
      <c r="H489" s="7">
        <v>0.17</v>
      </c>
      <c r="I489" s="3" t="s">
        <v>55</v>
      </c>
      <c r="J489" s="3" t="s">
        <v>73</v>
      </c>
      <c r="K489" s="3" t="s">
        <v>88</v>
      </c>
      <c r="L489" s="3" t="s">
        <v>46</v>
      </c>
      <c r="M489" s="5">
        <v>2636.91</v>
      </c>
      <c r="N489" s="11">
        <f t="shared" si="1"/>
        <v>3177</v>
      </c>
    </row>
    <row r="490">
      <c r="A490" s="3" t="s">
        <v>2755</v>
      </c>
      <c r="B490" s="3" t="s">
        <v>2756</v>
      </c>
      <c r="C490" s="4">
        <v>45287.0</v>
      </c>
      <c r="D490" s="10" t="s">
        <v>2757</v>
      </c>
      <c r="E490" s="3" t="s">
        <v>30</v>
      </c>
      <c r="F490" s="5">
        <v>3180.0</v>
      </c>
      <c r="G490" s="6">
        <v>3.0</v>
      </c>
      <c r="H490" s="7">
        <v>0.05</v>
      </c>
      <c r="I490" s="3" t="s">
        <v>21</v>
      </c>
      <c r="J490" s="3" t="s">
        <v>56</v>
      </c>
      <c r="K490" s="3" t="s">
        <v>23</v>
      </c>
      <c r="L490" s="3" t="s">
        <v>24</v>
      </c>
      <c r="M490" s="5">
        <v>9063.0</v>
      </c>
      <c r="N490" s="11">
        <f t="shared" si="1"/>
        <v>9540</v>
      </c>
    </row>
    <row r="491">
      <c r="A491" s="3" t="s">
        <v>2759</v>
      </c>
      <c r="B491" s="3" t="s">
        <v>2760</v>
      </c>
      <c r="C491" s="4">
        <v>45106.0</v>
      </c>
      <c r="D491" s="10" t="s">
        <v>2762</v>
      </c>
      <c r="E491" s="3" t="s">
        <v>30</v>
      </c>
      <c r="F491" s="5">
        <v>9085.0</v>
      </c>
      <c r="G491" s="6">
        <v>4.0</v>
      </c>
      <c r="H491" s="7">
        <v>0.09</v>
      </c>
      <c r="I491" s="3" t="s">
        <v>55</v>
      </c>
      <c r="J491" s="3" t="s">
        <v>45</v>
      </c>
      <c r="K491" s="3" t="s">
        <v>88</v>
      </c>
      <c r="L491" s="3" t="s">
        <v>36</v>
      </c>
      <c r="M491" s="5">
        <v>33069.4</v>
      </c>
      <c r="N491" s="11">
        <f t="shared" si="1"/>
        <v>36340</v>
      </c>
    </row>
    <row r="492">
      <c r="A492" s="3" t="s">
        <v>2765</v>
      </c>
      <c r="B492" s="3" t="s">
        <v>2766</v>
      </c>
      <c r="C492" s="4">
        <v>44965.0</v>
      </c>
      <c r="D492" s="10" t="s">
        <v>2767</v>
      </c>
      <c r="E492" s="3" t="s">
        <v>200</v>
      </c>
      <c r="F492" s="5">
        <v>5724.0</v>
      </c>
      <c r="G492" s="6">
        <v>3.0</v>
      </c>
      <c r="H492" s="7">
        <v>0.2</v>
      </c>
      <c r="I492" s="3" t="s">
        <v>65</v>
      </c>
      <c r="J492" s="3" t="s">
        <v>45</v>
      </c>
      <c r="K492" s="3" t="s">
        <v>81</v>
      </c>
      <c r="L492" s="3" t="s">
        <v>24</v>
      </c>
      <c r="M492" s="5">
        <v>13737.6</v>
      </c>
      <c r="N492" s="11">
        <f t="shared" si="1"/>
        <v>17172</v>
      </c>
    </row>
    <row r="493">
      <c r="A493" s="3" t="s">
        <v>2770</v>
      </c>
      <c r="B493" s="3" t="s">
        <v>2771</v>
      </c>
      <c r="C493" s="4">
        <v>45016.0</v>
      </c>
      <c r="D493" s="10" t="s">
        <v>2773</v>
      </c>
      <c r="E493" s="3" t="s">
        <v>42</v>
      </c>
      <c r="F493" s="5">
        <v>8670.0</v>
      </c>
      <c r="G493" s="6">
        <v>2.0</v>
      </c>
      <c r="H493" s="7">
        <v>0.19</v>
      </c>
      <c r="I493" s="3" t="s">
        <v>21</v>
      </c>
      <c r="J493" s="3" t="s">
        <v>73</v>
      </c>
      <c r="K493" s="3" t="s">
        <v>35</v>
      </c>
      <c r="L493" s="3" t="s">
        <v>36</v>
      </c>
      <c r="M493" s="5">
        <v>14045.4</v>
      </c>
      <c r="N493" s="11">
        <f t="shared" si="1"/>
        <v>17340</v>
      </c>
    </row>
    <row r="494">
      <c r="A494" s="3" t="s">
        <v>2776</v>
      </c>
      <c r="B494" s="3" t="s">
        <v>2777</v>
      </c>
      <c r="C494" s="4">
        <v>45001.0</v>
      </c>
      <c r="D494" s="10" t="s">
        <v>2778</v>
      </c>
      <c r="E494" s="3" t="s">
        <v>30</v>
      </c>
      <c r="F494" s="5">
        <v>163.0</v>
      </c>
      <c r="G494" s="6">
        <v>1.0</v>
      </c>
      <c r="H494" s="7">
        <v>0.13</v>
      </c>
      <c r="I494" s="3" t="s">
        <v>65</v>
      </c>
      <c r="J494" s="3" t="s">
        <v>45</v>
      </c>
      <c r="K494" s="3" t="s">
        <v>88</v>
      </c>
      <c r="L494" s="3" t="s">
        <v>36</v>
      </c>
      <c r="M494" s="5">
        <v>141.81</v>
      </c>
      <c r="N494" s="11">
        <f t="shared" si="1"/>
        <v>163</v>
      </c>
    </row>
    <row r="495">
      <c r="A495" s="3" t="s">
        <v>2781</v>
      </c>
      <c r="B495" s="3" t="s">
        <v>2782</v>
      </c>
      <c r="C495" s="4">
        <v>45153.0</v>
      </c>
      <c r="D495" s="10" t="s">
        <v>2783</v>
      </c>
      <c r="E495" s="3" t="s">
        <v>200</v>
      </c>
      <c r="F495" s="5">
        <v>6770.0</v>
      </c>
      <c r="G495" s="6">
        <v>3.0</v>
      </c>
      <c r="H495" s="7">
        <v>0.13</v>
      </c>
      <c r="I495" s="3" t="s">
        <v>55</v>
      </c>
      <c r="J495" s="3" t="s">
        <v>22</v>
      </c>
      <c r="K495" s="3" t="s">
        <v>23</v>
      </c>
      <c r="L495" s="3" t="s">
        <v>36</v>
      </c>
      <c r="M495" s="5">
        <v>17669.7</v>
      </c>
      <c r="N495" s="11">
        <f t="shared" si="1"/>
        <v>20310</v>
      </c>
    </row>
    <row r="496">
      <c r="A496" s="3" t="s">
        <v>2786</v>
      </c>
      <c r="B496" s="3" t="s">
        <v>2787</v>
      </c>
      <c r="C496" s="4">
        <v>45050.0</v>
      </c>
      <c r="D496" s="10" t="s">
        <v>2788</v>
      </c>
      <c r="E496" s="3" t="s">
        <v>17</v>
      </c>
      <c r="F496" s="5">
        <v>678.0</v>
      </c>
      <c r="G496" s="6">
        <v>3.0</v>
      </c>
      <c r="H496" s="7">
        <v>0.2</v>
      </c>
      <c r="I496" s="3" t="s">
        <v>21</v>
      </c>
      <c r="J496" s="3" t="s">
        <v>56</v>
      </c>
      <c r="K496" s="3" t="s">
        <v>35</v>
      </c>
      <c r="L496" s="3" t="s">
        <v>36</v>
      </c>
      <c r="M496" s="5">
        <v>1627.2</v>
      </c>
      <c r="N496" s="11">
        <f t="shared" si="1"/>
        <v>2034</v>
      </c>
    </row>
    <row r="497">
      <c r="A497" s="3" t="s">
        <v>2791</v>
      </c>
      <c r="B497" s="3" t="s">
        <v>2792</v>
      </c>
      <c r="C497" s="4">
        <v>45270.0</v>
      </c>
      <c r="D497" s="10" t="s">
        <v>2793</v>
      </c>
      <c r="E497" s="3" t="s">
        <v>17</v>
      </c>
      <c r="F497" s="5">
        <v>6013.0</v>
      </c>
      <c r="G497" s="6">
        <v>2.0</v>
      </c>
      <c r="H497" s="7">
        <v>0.07</v>
      </c>
      <c r="I497" s="3" t="s">
        <v>21</v>
      </c>
      <c r="J497" s="3" t="s">
        <v>56</v>
      </c>
      <c r="K497" s="3" t="s">
        <v>81</v>
      </c>
      <c r="L497" s="3" t="s">
        <v>24</v>
      </c>
      <c r="M497" s="5">
        <v>11184.18</v>
      </c>
      <c r="N497" s="11">
        <f t="shared" si="1"/>
        <v>12026</v>
      </c>
    </row>
    <row r="498">
      <c r="A498" s="3" t="s">
        <v>2796</v>
      </c>
      <c r="B498" s="3" t="s">
        <v>2797</v>
      </c>
      <c r="C498" s="4">
        <v>45023.0</v>
      </c>
      <c r="D498" s="10" t="s">
        <v>2799</v>
      </c>
      <c r="E498" s="3" t="s">
        <v>30</v>
      </c>
      <c r="F498" s="5">
        <v>6976.0</v>
      </c>
      <c r="G498" s="6">
        <v>2.0</v>
      </c>
      <c r="H498" s="7">
        <v>0.09</v>
      </c>
      <c r="I498" s="3" t="s">
        <v>21</v>
      </c>
      <c r="J498" s="3" t="s">
        <v>22</v>
      </c>
      <c r="K498" s="3" t="s">
        <v>35</v>
      </c>
      <c r="L498" s="3" t="s">
        <v>36</v>
      </c>
      <c r="M498" s="5">
        <v>12696.32</v>
      </c>
      <c r="N498" s="11">
        <f t="shared" si="1"/>
        <v>13952</v>
      </c>
    </row>
    <row r="499">
      <c r="A499" s="3" t="s">
        <v>2802</v>
      </c>
      <c r="B499" s="3" t="s">
        <v>2803</v>
      </c>
      <c r="C499" s="4">
        <v>45266.0</v>
      </c>
      <c r="D499" s="10" t="s">
        <v>2804</v>
      </c>
      <c r="E499" s="3" t="s">
        <v>200</v>
      </c>
      <c r="F499" s="5">
        <v>4049.0</v>
      </c>
      <c r="G499" s="6">
        <v>2.0</v>
      </c>
      <c r="H499" s="7">
        <v>0.09</v>
      </c>
      <c r="I499" s="3" t="s">
        <v>65</v>
      </c>
      <c r="J499" s="3" t="s">
        <v>45</v>
      </c>
      <c r="K499" s="3" t="s">
        <v>23</v>
      </c>
      <c r="L499" s="3" t="s">
        <v>36</v>
      </c>
      <c r="M499" s="5">
        <v>7369.18</v>
      </c>
      <c r="N499" s="11">
        <f t="shared" si="1"/>
        <v>8098</v>
      </c>
    </row>
    <row r="500">
      <c r="A500" s="3" t="s">
        <v>2807</v>
      </c>
      <c r="B500" s="3" t="s">
        <v>2808</v>
      </c>
      <c r="C500" s="4">
        <v>45209.0</v>
      </c>
      <c r="D500" s="10" t="s">
        <v>2809</v>
      </c>
      <c r="E500" s="3" t="s">
        <v>200</v>
      </c>
      <c r="F500" s="5">
        <v>6142.0</v>
      </c>
      <c r="G500" s="6">
        <v>2.0</v>
      </c>
      <c r="H500" s="7">
        <v>0.05</v>
      </c>
      <c r="I500" s="3" t="s">
        <v>21</v>
      </c>
      <c r="J500" s="3" t="s">
        <v>73</v>
      </c>
      <c r="K500" s="3" t="s">
        <v>35</v>
      </c>
      <c r="L500" s="3" t="s">
        <v>46</v>
      </c>
      <c r="M500" s="5">
        <v>11669.8</v>
      </c>
      <c r="N500" s="11">
        <f t="shared" si="1"/>
        <v>12284</v>
      </c>
    </row>
    <row r="501">
      <c r="A501" s="3" t="s">
        <v>2812</v>
      </c>
      <c r="B501" s="3" t="s">
        <v>2813</v>
      </c>
      <c r="C501" s="4">
        <v>45133.0</v>
      </c>
      <c r="D501" s="10" t="s">
        <v>2815</v>
      </c>
      <c r="E501" s="3" t="s">
        <v>52</v>
      </c>
      <c r="F501" s="5">
        <v>9509.0</v>
      </c>
      <c r="G501" s="6">
        <v>1.0</v>
      </c>
      <c r="H501" s="7">
        <v>0.14</v>
      </c>
      <c r="I501" s="3" t="s">
        <v>34</v>
      </c>
      <c r="J501" s="3" t="s">
        <v>56</v>
      </c>
      <c r="K501" s="3" t="s">
        <v>121</v>
      </c>
      <c r="L501" s="3" t="s">
        <v>24</v>
      </c>
      <c r="M501" s="5">
        <v>8177.74</v>
      </c>
      <c r="N501" s="11">
        <f t="shared" si="1"/>
        <v>9509</v>
      </c>
    </row>
    <row r="502">
      <c r="A502" s="3" t="s">
        <v>2818</v>
      </c>
      <c r="B502" s="3" t="s">
        <v>2819</v>
      </c>
      <c r="C502" s="4">
        <v>44959.0</v>
      </c>
      <c r="D502" s="10" t="s">
        <v>2820</v>
      </c>
      <c r="E502" s="3" t="s">
        <v>200</v>
      </c>
      <c r="F502" s="5">
        <v>9381.0</v>
      </c>
      <c r="G502" s="6">
        <v>2.0</v>
      </c>
      <c r="H502" s="7">
        <v>0.05</v>
      </c>
      <c r="I502" s="3" t="s">
        <v>34</v>
      </c>
      <c r="J502" s="3" t="s">
        <v>45</v>
      </c>
      <c r="K502" s="3" t="s">
        <v>35</v>
      </c>
      <c r="L502" s="3" t="s">
        <v>24</v>
      </c>
      <c r="M502" s="5">
        <v>17823.9</v>
      </c>
      <c r="N502" s="11">
        <f t="shared" si="1"/>
        <v>18762</v>
      </c>
    </row>
    <row r="503">
      <c r="A503" s="3" t="s">
        <v>2823</v>
      </c>
      <c r="B503" s="3" t="s">
        <v>2824</v>
      </c>
      <c r="C503" s="4">
        <v>45042.0</v>
      </c>
      <c r="D503" s="10" t="s">
        <v>2825</v>
      </c>
      <c r="E503" s="3" t="s">
        <v>52</v>
      </c>
      <c r="F503" s="5">
        <v>6828.0</v>
      </c>
      <c r="G503" s="6">
        <v>4.0</v>
      </c>
      <c r="H503" s="7">
        <v>0.18</v>
      </c>
      <c r="I503" s="3" t="s">
        <v>34</v>
      </c>
      <c r="J503" s="3" t="s">
        <v>56</v>
      </c>
      <c r="K503" s="3" t="s">
        <v>81</v>
      </c>
      <c r="L503" s="3" t="s">
        <v>46</v>
      </c>
      <c r="M503" s="5">
        <v>22395.84</v>
      </c>
      <c r="N503" s="11">
        <f t="shared" si="1"/>
        <v>27312</v>
      </c>
    </row>
    <row r="504">
      <c r="A504" s="3" t="s">
        <v>2828</v>
      </c>
      <c r="B504" s="3" t="s">
        <v>2829</v>
      </c>
      <c r="C504" s="4">
        <v>45280.0</v>
      </c>
      <c r="D504" s="10" t="s">
        <v>2830</v>
      </c>
      <c r="E504" s="3" t="s">
        <v>200</v>
      </c>
      <c r="F504" s="5">
        <v>3561.0</v>
      </c>
      <c r="G504" s="6">
        <v>1.0</v>
      </c>
      <c r="H504" s="7">
        <v>0.15</v>
      </c>
      <c r="I504" s="3" t="s">
        <v>55</v>
      </c>
      <c r="J504" s="3" t="s">
        <v>73</v>
      </c>
      <c r="K504" s="3" t="s">
        <v>88</v>
      </c>
      <c r="L504" s="3" t="s">
        <v>46</v>
      </c>
      <c r="M504" s="5">
        <v>3026.85</v>
      </c>
      <c r="N504" s="11">
        <f t="shared" si="1"/>
        <v>3561</v>
      </c>
    </row>
    <row r="505">
      <c r="A505" s="3" t="s">
        <v>2833</v>
      </c>
      <c r="B505" s="3" t="s">
        <v>2834</v>
      </c>
      <c r="C505" s="4">
        <v>45242.0</v>
      </c>
      <c r="D505" s="10" t="s">
        <v>2836</v>
      </c>
      <c r="E505" s="3" t="s">
        <v>17</v>
      </c>
      <c r="F505" s="5">
        <v>6456.0</v>
      </c>
      <c r="G505" s="6">
        <v>1.0</v>
      </c>
      <c r="H505" s="7">
        <v>0.06</v>
      </c>
      <c r="I505" s="3" t="s">
        <v>34</v>
      </c>
      <c r="J505" s="3" t="s">
        <v>56</v>
      </c>
      <c r="K505" s="3" t="s">
        <v>121</v>
      </c>
      <c r="L505" s="3" t="s">
        <v>46</v>
      </c>
      <c r="M505" s="5">
        <v>6068.64</v>
      </c>
      <c r="N505" s="11">
        <f t="shared" si="1"/>
        <v>6456</v>
      </c>
    </row>
    <row r="506">
      <c r="A506" s="3" t="s">
        <v>2839</v>
      </c>
      <c r="B506" s="3" t="s">
        <v>2840</v>
      </c>
      <c r="C506" s="4">
        <v>45240.0</v>
      </c>
      <c r="D506" s="10" t="s">
        <v>2842</v>
      </c>
      <c r="E506" s="3" t="s">
        <v>17</v>
      </c>
      <c r="F506" s="5">
        <v>8745.0</v>
      </c>
      <c r="G506" s="6">
        <v>4.0</v>
      </c>
      <c r="H506" s="7">
        <v>0.15</v>
      </c>
      <c r="I506" s="3" t="s">
        <v>34</v>
      </c>
      <c r="J506" s="3" t="s">
        <v>22</v>
      </c>
      <c r="K506" s="3" t="s">
        <v>88</v>
      </c>
      <c r="L506" s="3" t="s">
        <v>36</v>
      </c>
      <c r="M506" s="5">
        <v>29733.0</v>
      </c>
      <c r="N506" s="11">
        <f t="shared" si="1"/>
        <v>34980</v>
      </c>
    </row>
    <row r="507">
      <c r="A507" s="3" t="s">
        <v>2844</v>
      </c>
      <c r="B507" s="3" t="s">
        <v>2845</v>
      </c>
      <c r="C507" s="4">
        <v>45105.0</v>
      </c>
      <c r="D507" s="10" t="s">
        <v>2846</v>
      </c>
      <c r="E507" s="3" t="s">
        <v>200</v>
      </c>
      <c r="F507" s="5">
        <v>5645.0</v>
      </c>
      <c r="G507" s="6">
        <v>3.0</v>
      </c>
      <c r="H507" s="7">
        <v>0.09</v>
      </c>
      <c r="I507" s="3" t="s">
        <v>34</v>
      </c>
      <c r="J507" s="3" t="s">
        <v>73</v>
      </c>
      <c r="K507" s="3" t="s">
        <v>81</v>
      </c>
      <c r="L507" s="3" t="s">
        <v>36</v>
      </c>
      <c r="M507" s="5">
        <v>15410.85</v>
      </c>
      <c r="N507" s="11">
        <f t="shared" si="1"/>
        <v>16935</v>
      </c>
    </row>
    <row r="508">
      <c r="A508" s="3" t="s">
        <v>2849</v>
      </c>
      <c r="B508" s="3" t="s">
        <v>2850</v>
      </c>
      <c r="C508" s="4">
        <v>45100.0</v>
      </c>
      <c r="D508" s="10" t="s">
        <v>2852</v>
      </c>
      <c r="E508" s="3" t="s">
        <v>17</v>
      </c>
      <c r="F508" s="5">
        <v>5155.0</v>
      </c>
      <c r="G508" s="6">
        <v>4.0</v>
      </c>
      <c r="H508" s="7">
        <v>0.06</v>
      </c>
      <c r="I508" s="3" t="s">
        <v>55</v>
      </c>
      <c r="J508" s="3" t="s">
        <v>45</v>
      </c>
      <c r="K508" s="3" t="s">
        <v>88</v>
      </c>
      <c r="L508" s="3" t="s">
        <v>24</v>
      </c>
      <c r="M508" s="5">
        <v>19382.8</v>
      </c>
      <c r="N508" s="11">
        <f t="shared" si="1"/>
        <v>20620</v>
      </c>
    </row>
    <row r="509">
      <c r="A509" s="3" t="s">
        <v>2855</v>
      </c>
      <c r="B509" s="3" t="s">
        <v>2856</v>
      </c>
      <c r="C509" s="4">
        <v>45160.0</v>
      </c>
      <c r="D509" s="10" t="s">
        <v>2858</v>
      </c>
      <c r="E509" s="3" t="s">
        <v>52</v>
      </c>
      <c r="F509" s="5">
        <v>9638.0</v>
      </c>
      <c r="G509" s="6">
        <v>3.0</v>
      </c>
      <c r="H509" s="7">
        <v>0.16</v>
      </c>
      <c r="I509" s="3" t="s">
        <v>65</v>
      </c>
      <c r="J509" s="3" t="s">
        <v>73</v>
      </c>
      <c r="K509" s="3" t="s">
        <v>81</v>
      </c>
      <c r="L509" s="3" t="s">
        <v>24</v>
      </c>
      <c r="M509" s="5">
        <v>24287.76</v>
      </c>
      <c r="N509" s="11">
        <f t="shared" si="1"/>
        <v>28914</v>
      </c>
    </row>
    <row r="510">
      <c r="A510" s="3" t="s">
        <v>2861</v>
      </c>
      <c r="B510" s="3" t="s">
        <v>2862</v>
      </c>
      <c r="C510" s="4">
        <v>45059.0</v>
      </c>
      <c r="D510" s="10" t="s">
        <v>2864</v>
      </c>
      <c r="E510" s="3" t="s">
        <v>52</v>
      </c>
      <c r="F510" s="5">
        <v>6042.0</v>
      </c>
      <c r="G510" s="6">
        <v>2.0</v>
      </c>
      <c r="H510" s="7">
        <v>0.14</v>
      </c>
      <c r="I510" s="3" t="s">
        <v>65</v>
      </c>
      <c r="J510" s="3" t="s">
        <v>45</v>
      </c>
      <c r="K510" s="3" t="s">
        <v>23</v>
      </c>
      <c r="L510" s="3" t="s">
        <v>46</v>
      </c>
      <c r="M510" s="5">
        <v>10392.24</v>
      </c>
      <c r="N510" s="11">
        <f t="shared" si="1"/>
        <v>12084</v>
      </c>
    </row>
    <row r="511">
      <c r="A511" s="3" t="s">
        <v>2867</v>
      </c>
      <c r="B511" s="3" t="s">
        <v>2868</v>
      </c>
      <c r="C511" s="4">
        <v>45020.0</v>
      </c>
      <c r="D511" s="10" t="s">
        <v>2869</v>
      </c>
      <c r="E511" s="3" t="s">
        <v>30</v>
      </c>
      <c r="F511" s="5">
        <v>1690.0</v>
      </c>
      <c r="G511" s="6">
        <v>3.0</v>
      </c>
      <c r="H511" s="7">
        <v>0.12</v>
      </c>
      <c r="I511" s="3" t="s">
        <v>55</v>
      </c>
      <c r="J511" s="3" t="s">
        <v>73</v>
      </c>
      <c r="K511" s="3" t="s">
        <v>23</v>
      </c>
      <c r="L511" s="3" t="s">
        <v>24</v>
      </c>
      <c r="M511" s="5">
        <v>4461.6</v>
      </c>
      <c r="N511" s="11">
        <f t="shared" si="1"/>
        <v>5070</v>
      </c>
    </row>
    <row r="512">
      <c r="A512" s="3" t="s">
        <v>2871</v>
      </c>
      <c r="B512" s="3" t="s">
        <v>2872</v>
      </c>
      <c r="C512" s="4">
        <v>45274.0</v>
      </c>
      <c r="D512" s="10" t="s">
        <v>2873</v>
      </c>
      <c r="E512" s="3" t="s">
        <v>17</v>
      </c>
      <c r="F512" s="5">
        <v>5491.0</v>
      </c>
      <c r="G512" s="6">
        <v>4.0</v>
      </c>
      <c r="H512" s="7">
        <v>0.18</v>
      </c>
      <c r="I512" s="3" t="s">
        <v>55</v>
      </c>
      <c r="J512" s="3" t="s">
        <v>22</v>
      </c>
      <c r="K512" s="3" t="s">
        <v>81</v>
      </c>
      <c r="L512" s="3" t="s">
        <v>36</v>
      </c>
      <c r="M512" s="5">
        <v>18010.48</v>
      </c>
      <c r="N512" s="11">
        <f t="shared" si="1"/>
        <v>21964</v>
      </c>
    </row>
    <row r="513">
      <c r="A513" s="3" t="s">
        <v>2876</v>
      </c>
      <c r="B513" s="3" t="s">
        <v>2877</v>
      </c>
      <c r="C513" s="4">
        <v>45121.0</v>
      </c>
      <c r="D513" s="10" t="s">
        <v>2879</v>
      </c>
      <c r="E513" s="3" t="s">
        <v>200</v>
      </c>
      <c r="F513" s="5">
        <v>7856.0</v>
      </c>
      <c r="G513" s="6">
        <v>1.0</v>
      </c>
      <c r="H513" s="7">
        <v>0.08</v>
      </c>
      <c r="I513" s="3" t="s">
        <v>21</v>
      </c>
      <c r="J513" s="3" t="s">
        <v>45</v>
      </c>
      <c r="K513" s="3" t="s">
        <v>88</v>
      </c>
      <c r="L513" s="3" t="s">
        <v>24</v>
      </c>
      <c r="M513" s="5">
        <v>7227.52</v>
      </c>
      <c r="N513" s="11">
        <f t="shared" si="1"/>
        <v>7856</v>
      </c>
    </row>
    <row r="514">
      <c r="A514" s="3" t="s">
        <v>2882</v>
      </c>
      <c r="B514" s="3" t="s">
        <v>2883</v>
      </c>
      <c r="C514" s="4">
        <v>45112.0</v>
      </c>
      <c r="D514" s="10" t="s">
        <v>2884</v>
      </c>
      <c r="E514" s="3" t="s">
        <v>200</v>
      </c>
      <c r="F514" s="5">
        <v>2210.0</v>
      </c>
      <c r="G514" s="6">
        <v>4.0</v>
      </c>
      <c r="H514" s="7">
        <v>0.2</v>
      </c>
      <c r="I514" s="3" t="s">
        <v>21</v>
      </c>
      <c r="J514" s="3" t="s">
        <v>56</v>
      </c>
      <c r="K514" s="3" t="s">
        <v>35</v>
      </c>
      <c r="L514" s="3" t="s">
        <v>46</v>
      </c>
      <c r="M514" s="5">
        <v>7072.0</v>
      </c>
      <c r="N514" s="11">
        <f t="shared" si="1"/>
        <v>8840</v>
      </c>
    </row>
    <row r="515">
      <c r="A515" s="3" t="s">
        <v>2887</v>
      </c>
      <c r="B515" s="3" t="s">
        <v>2888</v>
      </c>
      <c r="C515" s="4">
        <v>45091.0</v>
      </c>
      <c r="D515" s="10" t="s">
        <v>2889</v>
      </c>
      <c r="E515" s="3" t="s">
        <v>52</v>
      </c>
      <c r="F515" s="5">
        <v>4123.0</v>
      </c>
      <c r="G515" s="6">
        <v>2.0</v>
      </c>
      <c r="H515" s="7">
        <v>0.07</v>
      </c>
      <c r="I515" s="3" t="s">
        <v>21</v>
      </c>
      <c r="J515" s="3" t="s">
        <v>22</v>
      </c>
      <c r="K515" s="3" t="s">
        <v>88</v>
      </c>
      <c r="L515" s="3" t="s">
        <v>24</v>
      </c>
      <c r="M515" s="5">
        <v>7668.78</v>
      </c>
      <c r="N515" s="11">
        <f t="shared" si="1"/>
        <v>8246</v>
      </c>
    </row>
    <row r="516">
      <c r="A516" s="3" t="s">
        <v>2892</v>
      </c>
      <c r="B516" s="3" t="s">
        <v>2893</v>
      </c>
      <c r="C516" s="4">
        <v>45288.0</v>
      </c>
      <c r="D516" s="10" t="s">
        <v>2894</v>
      </c>
      <c r="E516" s="3" t="s">
        <v>200</v>
      </c>
      <c r="F516" s="5">
        <v>8078.0</v>
      </c>
      <c r="G516" s="6">
        <v>2.0</v>
      </c>
      <c r="H516" s="7">
        <v>0.08</v>
      </c>
      <c r="I516" s="3" t="s">
        <v>55</v>
      </c>
      <c r="J516" s="3" t="s">
        <v>56</v>
      </c>
      <c r="K516" s="3" t="s">
        <v>121</v>
      </c>
      <c r="L516" s="3" t="s">
        <v>36</v>
      </c>
      <c r="M516" s="5">
        <v>14863.52</v>
      </c>
      <c r="N516" s="11">
        <f t="shared" si="1"/>
        <v>16156</v>
      </c>
    </row>
    <row r="517">
      <c r="A517" s="3" t="s">
        <v>2897</v>
      </c>
      <c r="B517" s="3" t="s">
        <v>2898</v>
      </c>
      <c r="C517" s="4">
        <v>45117.0</v>
      </c>
      <c r="D517" s="10" t="s">
        <v>2900</v>
      </c>
      <c r="E517" s="3" t="s">
        <v>30</v>
      </c>
      <c r="F517" s="5">
        <v>9852.0</v>
      </c>
      <c r="G517" s="6">
        <v>2.0</v>
      </c>
      <c r="H517" s="7">
        <v>0.14</v>
      </c>
      <c r="I517" s="3" t="s">
        <v>65</v>
      </c>
      <c r="J517" s="3" t="s">
        <v>73</v>
      </c>
      <c r="K517" s="3" t="s">
        <v>88</v>
      </c>
      <c r="L517" s="3" t="s">
        <v>46</v>
      </c>
      <c r="M517" s="5">
        <v>16945.44</v>
      </c>
      <c r="N517" s="11">
        <f t="shared" si="1"/>
        <v>19704</v>
      </c>
    </row>
    <row r="518">
      <c r="A518" s="3" t="s">
        <v>2903</v>
      </c>
      <c r="B518" s="3" t="s">
        <v>2904</v>
      </c>
      <c r="C518" s="4">
        <v>44931.0</v>
      </c>
      <c r="D518" s="10" t="s">
        <v>2905</v>
      </c>
      <c r="E518" s="3" t="s">
        <v>17</v>
      </c>
      <c r="F518" s="5">
        <v>1510.0</v>
      </c>
      <c r="G518" s="6">
        <v>4.0</v>
      </c>
      <c r="H518" s="7">
        <v>0.19</v>
      </c>
      <c r="I518" s="3" t="s">
        <v>34</v>
      </c>
      <c r="J518" s="3" t="s">
        <v>45</v>
      </c>
      <c r="K518" s="3" t="s">
        <v>88</v>
      </c>
      <c r="L518" s="3" t="s">
        <v>36</v>
      </c>
      <c r="M518" s="5">
        <v>4892.4</v>
      </c>
      <c r="N518" s="11">
        <f t="shared" si="1"/>
        <v>6040</v>
      </c>
    </row>
    <row r="519">
      <c r="A519" s="3" t="s">
        <v>2908</v>
      </c>
      <c r="B519" s="3" t="s">
        <v>2909</v>
      </c>
      <c r="C519" s="4">
        <v>45132.0</v>
      </c>
      <c r="D519" s="10" t="s">
        <v>2911</v>
      </c>
      <c r="E519" s="3" t="s">
        <v>200</v>
      </c>
      <c r="F519" s="5">
        <v>328.0</v>
      </c>
      <c r="G519" s="6">
        <v>2.0</v>
      </c>
      <c r="H519" s="7">
        <v>0.07</v>
      </c>
      <c r="I519" s="3" t="s">
        <v>21</v>
      </c>
      <c r="J519" s="3" t="s">
        <v>56</v>
      </c>
      <c r="K519" s="3" t="s">
        <v>121</v>
      </c>
      <c r="L519" s="3" t="s">
        <v>36</v>
      </c>
      <c r="M519" s="5">
        <v>610.08</v>
      </c>
      <c r="N519" s="11">
        <f t="shared" si="1"/>
        <v>656</v>
      </c>
    </row>
    <row r="520">
      <c r="A520" s="3" t="s">
        <v>2913</v>
      </c>
      <c r="B520" s="3" t="s">
        <v>2914</v>
      </c>
      <c r="C520" s="4">
        <v>45270.0</v>
      </c>
      <c r="D520" s="10" t="s">
        <v>2915</v>
      </c>
      <c r="E520" s="3" t="s">
        <v>200</v>
      </c>
      <c r="F520" s="5">
        <v>6225.0</v>
      </c>
      <c r="G520" s="6">
        <v>3.0</v>
      </c>
      <c r="H520" s="7">
        <v>0.16</v>
      </c>
      <c r="I520" s="3" t="s">
        <v>34</v>
      </c>
      <c r="J520" s="3" t="s">
        <v>22</v>
      </c>
      <c r="K520" s="3" t="s">
        <v>121</v>
      </c>
      <c r="L520" s="3" t="s">
        <v>46</v>
      </c>
      <c r="M520" s="5">
        <v>15687.0</v>
      </c>
      <c r="N520" s="11">
        <f t="shared" si="1"/>
        <v>18675</v>
      </c>
    </row>
    <row r="521">
      <c r="A521" s="3" t="s">
        <v>2918</v>
      </c>
      <c r="B521" s="3" t="s">
        <v>2919</v>
      </c>
      <c r="C521" s="4">
        <v>45153.0</v>
      </c>
      <c r="D521" s="10" t="s">
        <v>2920</v>
      </c>
      <c r="E521" s="3" t="s">
        <v>52</v>
      </c>
      <c r="F521" s="5">
        <v>1736.0</v>
      </c>
      <c r="G521" s="6">
        <v>2.0</v>
      </c>
      <c r="H521" s="7">
        <v>0.1</v>
      </c>
      <c r="I521" s="3" t="s">
        <v>21</v>
      </c>
      <c r="J521" s="3" t="s">
        <v>56</v>
      </c>
      <c r="K521" s="3" t="s">
        <v>81</v>
      </c>
      <c r="L521" s="3" t="s">
        <v>46</v>
      </c>
      <c r="M521" s="5">
        <v>3124.8</v>
      </c>
      <c r="N521" s="11">
        <f t="shared" si="1"/>
        <v>3472</v>
      </c>
    </row>
    <row r="522">
      <c r="A522" s="3" t="s">
        <v>2923</v>
      </c>
      <c r="B522" s="3" t="s">
        <v>2924</v>
      </c>
      <c r="C522" s="4">
        <v>45000.0</v>
      </c>
      <c r="D522" s="10" t="s">
        <v>2925</v>
      </c>
      <c r="E522" s="3" t="s">
        <v>17</v>
      </c>
      <c r="F522" s="5">
        <v>4489.0</v>
      </c>
      <c r="G522" s="6">
        <v>1.0</v>
      </c>
      <c r="H522" s="7">
        <v>0.08</v>
      </c>
      <c r="I522" s="3" t="s">
        <v>65</v>
      </c>
      <c r="J522" s="3" t="s">
        <v>73</v>
      </c>
      <c r="K522" s="3" t="s">
        <v>81</v>
      </c>
      <c r="L522" s="3" t="s">
        <v>46</v>
      </c>
      <c r="M522" s="5">
        <v>4129.88</v>
      </c>
      <c r="N522" s="11">
        <f t="shared" si="1"/>
        <v>4489</v>
      </c>
    </row>
    <row r="523">
      <c r="A523" s="3" t="s">
        <v>2928</v>
      </c>
      <c r="B523" s="3" t="s">
        <v>2929</v>
      </c>
      <c r="C523" s="4">
        <v>45145.0</v>
      </c>
      <c r="D523" s="10" t="s">
        <v>2930</v>
      </c>
      <c r="E523" s="3" t="s">
        <v>200</v>
      </c>
      <c r="F523" s="5">
        <v>7200.0</v>
      </c>
      <c r="G523" s="6">
        <v>2.0</v>
      </c>
      <c r="H523" s="7">
        <v>0.19</v>
      </c>
      <c r="I523" s="3" t="s">
        <v>65</v>
      </c>
      <c r="J523" s="3" t="s">
        <v>56</v>
      </c>
      <c r="K523" s="3" t="s">
        <v>35</v>
      </c>
      <c r="L523" s="3" t="s">
        <v>46</v>
      </c>
      <c r="M523" s="5">
        <v>11664.0</v>
      </c>
      <c r="N523" s="11">
        <f t="shared" si="1"/>
        <v>14400</v>
      </c>
    </row>
    <row r="524">
      <c r="A524" s="3" t="s">
        <v>2933</v>
      </c>
      <c r="B524" s="3" t="s">
        <v>2934</v>
      </c>
      <c r="C524" s="4">
        <v>44953.0</v>
      </c>
      <c r="D524" s="10" t="s">
        <v>2935</v>
      </c>
      <c r="E524" s="3" t="s">
        <v>17</v>
      </c>
      <c r="F524" s="5">
        <v>1084.0</v>
      </c>
      <c r="G524" s="6">
        <v>3.0</v>
      </c>
      <c r="H524" s="7">
        <v>0.19</v>
      </c>
      <c r="I524" s="3" t="s">
        <v>65</v>
      </c>
      <c r="J524" s="3" t="s">
        <v>45</v>
      </c>
      <c r="K524" s="3" t="s">
        <v>23</v>
      </c>
      <c r="L524" s="3" t="s">
        <v>46</v>
      </c>
      <c r="M524" s="5">
        <v>2634.12</v>
      </c>
      <c r="N524" s="11">
        <f t="shared" si="1"/>
        <v>3252</v>
      </c>
    </row>
    <row r="525">
      <c r="A525" s="3" t="s">
        <v>2938</v>
      </c>
      <c r="B525" s="3" t="s">
        <v>2939</v>
      </c>
      <c r="C525" s="4">
        <v>44949.0</v>
      </c>
      <c r="D525" s="10" t="s">
        <v>2940</v>
      </c>
      <c r="E525" s="3" t="s">
        <v>52</v>
      </c>
      <c r="F525" s="5">
        <v>3666.0</v>
      </c>
      <c r="G525" s="6">
        <v>4.0</v>
      </c>
      <c r="H525" s="7">
        <v>0.07</v>
      </c>
      <c r="I525" s="3" t="s">
        <v>34</v>
      </c>
      <c r="J525" s="3" t="s">
        <v>45</v>
      </c>
      <c r="K525" s="3" t="s">
        <v>81</v>
      </c>
      <c r="L525" s="3" t="s">
        <v>36</v>
      </c>
      <c r="M525" s="5">
        <v>13637.52</v>
      </c>
      <c r="N525" s="11">
        <f t="shared" si="1"/>
        <v>14664</v>
      </c>
    </row>
    <row r="526">
      <c r="A526" s="3" t="s">
        <v>2943</v>
      </c>
      <c r="B526" s="3" t="s">
        <v>2944</v>
      </c>
      <c r="C526" s="4">
        <v>45134.0</v>
      </c>
      <c r="D526" s="10" t="s">
        <v>2945</v>
      </c>
      <c r="E526" s="3" t="s">
        <v>42</v>
      </c>
      <c r="F526" s="5">
        <v>2055.0</v>
      </c>
      <c r="G526" s="6">
        <v>1.0</v>
      </c>
      <c r="H526" s="7">
        <v>0.08</v>
      </c>
      <c r="I526" s="3" t="s">
        <v>55</v>
      </c>
      <c r="J526" s="3" t="s">
        <v>22</v>
      </c>
      <c r="K526" s="3" t="s">
        <v>81</v>
      </c>
      <c r="L526" s="3" t="s">
        <v>46</v>
      </c>
      <c r="M526" s="5">
        <v>1890.6</v>
      </c>
      <c r="N526" s="11">
        <f t="shared" si="1"/>
        <v>2055</v>
      </c>
    </row>
    <row r="527">
      <c r="A527" s="3" t="s">
        <v>2948</v>
      </c>
      <c r="B527" s="3" t="s">
        <v>2949</v>
      </c>
      <c r="C527" s="4">
        <v>45281.0</v>
      </c>
      <c r="D527" s="10" t="s">
        <v>2951</v>
      </c>
      <c r="E527" s="3" t="s">
        <v>52</v>
      </c>
      <c r="F527" s="5">
        <v>1231.0</v>
      </c>
      <c r="G527" s="6">
        <v>4.0</v>
      </c>
      <c r="H527" s="7">
        <v>0.15</v>
      </c>
      <c r="I527" s="3" t="s">
        <v>65</v>
      </c>
      <c r="J527" s="3" t="s">
        <v>22</v>
      </c>
      <c r="K527" s="3" t="s">
        <v>23</v>
      </c>
      <c r="L527" s="3" t="s">
        <v>36</v>
      </c>
      <c r="M527" s="5">
        <v>4185.4</v>
      </c>
      <c r="N527" s="11">
        <f t="shared" si="1"/>
        <v>4924</v>
      </c>
    </row>
    <row r="528">
      <c r="A528" s="3" t="s">
        <v>2954</v>
      </c>
      <c r="B528" s="3" t="s">
        <v>2955</v>
      </c>
      <c r="C528" s="4">
        <v>45017.0</v>
      </c>
      <c r="D528" s="10" t="s">
        <v>2957</v>
      </c>
      <c r="E528" s="3" t="s">
        <v>17</v>
      </c>
      <c r="F528" s="5">
        <v>8156.0</v>
      </c>
      <c r="G528" s="6">
        <v>3.0</v>
      </c>
      <c r="H528" s="7">
        <v>0.12</v>
      </c>
      <c r="I528" s="3" t="s">
        <v>21</v>
      </c>
      <c r="J528" s="3" t="s">
        <v>45</v>
      </c>
      <c r="K528" s="3" t="s">
        <v>81</v>
      </c>
      <c r="L528" s="3" t="s">
        <v>24</v>
      </c>
      <c r="M528" s="5">
        <v>21531.84</v>
      </c>
      <c r="N528" s="11">
        <f t="shared" si="1"/>
        <v>24468</v>
      </c>
    </row>
    <row r="529">
      <c r="A529" s="3" t="s">
        <v>2960</v>
      </c>
      <c r="B529" s="3" t="s">
        <v>2961</v>
      </c>
      <c r="C529" s="4">
        <v>44978.0</v>
      </c>
      <c r="D529" s="10" t="s">
        <v>2962</v>
      </c>
      <c r="E529" s="3" t="s">
        <v>17</v>
      </c>
      <c r="F529" s="5">
        <v>259.0</v>
      </c>
      <c r="G529" s="6">
        <v>4.0</v>
      </c>
      <c r="H529" s="7">
        <v>0.18</v>
      </c>
      <c r="I529" s="3" t="s">
        <v>65</v>
      </c>
      <c r="J529" s="3" t="s">
        <v>73</v>
      </c>
      <c r="K529" s="3" t="s">
        <v>35</v>
      </c>
      <c r="L529" s="3" t="s">
        <v>46</v>
      </c>
      <c r="M529" s="5">
        <v>849.52</v>
      </c>
      <c r="N529" s="11">
        <f t="shared" si="1"/>
        <v>1036</v>
      </c>
    </row>
    <row r="530">
      <c r="A530" s="3" t="s">
        <v>2965</v>
      </c>
      <c r="B530" s="3" t="s">
        <v>2966</v>
      </c>
      <c r="C530" s="4">
        <v>45229.0</v>
      </c>
      <c r="D530" s="10" t="s">
        <v>2967</v>
      </c>
      <c r="E530" s="3" t="s">
        <v>30</v>
      </c>
      <c r="F530" s="5">
        <v>2459.0</v>
      </c>
      <c r="G530" s="6">
        <v>3.0</v>
      </c>
      <c r="H530" s="7">
        <v>0.13</v>
      </c>
      <c r="I530" s="3" t="s">
        <v>34</v>
      </c>
      <c r="J530" s="3" t="s">
        <v>56</v>
      </c>
      <c r="K530" s="3" t="s">
        <v>35</v>
      </c>
      <c r="L530" s="3" t="s">
        <v>46</v>
      </c>
      <c r="M530" s="5">
        <v>6417.99</v>
      </c>
      <c r="N530" s="11">
        <f t="shared" si="1"/>
        <v>7377</v>
      </c>
    </row>
    <row r="531">
      <c r="A531" s="3" t="s">
        <v>2970</v>
      </c>
      <c r="B531" s="3" t="s">
        <v>2971</v>
      </c>
      <c r="C531" s="4">
        <v>45135.0</v>
      </c>
      <c r="D531" s="10" t="s">
        <v>2972</v>
      </c>
      <c r="E531" s="3" t="s">
        <v>200</v>
      </c>
      <c r="F531" s="5">
        <v>2376.0</v>
      </c>
      <c r="G531" s="6">
        <v>3.0</v>
      </c>
      <c r="H531" s="7">
        <v>0.09</v>
      </c>
      <c r="I531" s="3" t="s">
        <v>21</v>
      </c>
      <c r="J531" s="3" t="s">
        <v>56</v>
      </c>
      <c r="K531" s="3" t="s">
        <v>81</v>
      </c>
      <c r="L531" s="3" t="s">
        <v>36</v>
      </c>
      <c r="M531" s="5">
        <v>6486.48</v>
      </c>
      <c r="N531" s="11">
        <f t="shared" si="1"/>
        <v>7128</v>
      </c>
    </row>
    <row r="532">
      <c r="A532" s="3" t="s">
        <v>2975</v>
      </c>
      <c r="B532" s="3" t="s">
        <v>2976</v>
      </c>
      <c r="C532" s="4">
        <v>44988.0</v>
      </c>
      <c r="D532" s="10" t="s">
        <v>2977</v>
      </c>
      <c r="E532" s="3" t="s">
        <v>17</v>
      </c>
      <c r="F532" s="5">
        <v>552.0</v>
      </c>
      <c r="G532" s="6">
        <v>3.0</v>
      </c>
      <c r="H532" s="7">
        <v>0.11</v>
      </c>
      <c r="I532" s="3" t="s">
        <v>55</v>
      </c>
      <c r="J532" s="3" t="s">
        <v>22</v>
      </c>
      <c r="K532" s="3" t="s">
        <v>35</v>
      </c>
      <c r="L532" s="3" t="s">
        <v>36</v>
      </c>
      <c r="M532" s="5">
        <v>1473.84</v>
      </c>
      <c r="N532" s="11">
        <f t="shared" si="1"/>
        <v>1656</v>
      </c>
    </row>
    <row r="533">
      <c r="A533" s="3" t="s">
        <v>2980</v>
      </c>
      <c r="B533" s="3" t="s">
        <v>2981</v>
      </c>
      <c r="C533" s="4">
        <v>45230.0</v>
      </c>
      <c r="D533" s="10" t="s">
        <v>2983</v>
      </c>
      <c r="E533" s="3" t="s">
        <v>200</v>
      </c>
      <c r="F533" s="5">
        <v>8869.0</v>
      </c>
      <c r="G533" s="6">
        <v>2.0</v>
      </c>
      <c r="H533" s="7">
        <v>0.2</v>
      </c>
      <c r="I533" s="3" t="s">
        <v>65</v>
      </c>
      <c r="J533" s="3" t="s">
        <v>45</v>
      </c>
      <c r="K533" s="3" t="s">
        <v>88</v>
      </c>
      <c r="L533" s="3" t="s">
        <v>36</v>
      </c>
      <c r="M533" s="5">
        <v>14190.4</v>
      </c>
      <c r="N533" s="11">
        <f t="shared" si="1"/>
        <v>17738</v>
      </c>
    </row>
    <row r="534">
      <c r="A534" s="3" t="s">
        <v>2986</v>
      </c>
      <c r="B534" s="3" t="s">
        <v>2987</v>
      </c>
      <c r="C534" s="4">
        <v>45031.0</v>
      </c>
      <c r="D534" s="10" t="s">
        <v>2988</v>
      </c>
      <c r="E534" s="3" t="s">
        <v>42</v>
      </c>
      <c r="F534" s="5">
        <v>466.0</v>
      </c>
      <c r="G534" s="6">
        <v>3.0</v>
      </c>
      <c r="H534" s="7">
        <v>0.06</v>
      </c>
      <c r="I534" s="3" t="s">
        <v>55</v>
      </c>
      <c r="J534" s="3" t="s">
        <v>56</v>
      </c>
      <c r="K534" s="3" t="s">
        <v>35</v>
      </c>
      <c r="L534" s="3" t="s">
        <v>46</v>
      </c>
      <c r="M534" s="5">
        <v>1314.12</v>
      </c>
      <c r="N534" s="11">
        <f t="shared" si="1"/>
        <v>1398</v>
      </c>
    </row>
    <row r="535">
      <c r="A535" s="3" t="s">
        <v>2991</v>
      </c>
      <c r="B535" s="3" t="s">
        <v>2992</v>
      </c>
      <c r="C535" s="4">
        <v>45055.0</v>
      </c>
      <c r="D535" s="10" t="s">
        <v>2993</v>
      </c>
      <c r="E535" s="3" t="s">
        <v>200</v>
      </c>
      <c r="F535" s="5">
        <v>5539.0</v>
      </c>
      <c r="G535" s="6">
        <v>2.0</v>
      </c>
      <c r="H535" s="7">
        <v>0.12</v>
      </c>
      <c r="I535" s="3" t="s">
        <v>55</v>
      </c>
      <c r="J535" s="3" t="s">
        <v>22</v>
      </c>
      <c r="K535" s="3" t="s">
        <v>121</v>
      </c>
      <c r="L535" s="3" t="s">
        <v>36</v>
      </c>
      <c r="M535" s="5">
        <v>9748.64</v>
      </c>
      <c r="N535" s="11">
        <f t="shared" si="1"/>
        <v>11078</v>
      </c>
    </row>
    <row r="536">
      <c r="A536" s="3" t="s">
        <v>2996</v>
      </c>
      <c r="B536" s="3" t="s">
        <v>2997</v>
      </c>
      <c r="C536" s="4">
        <v>45254.0</v>
      </c>
      <c r="D536" s="10" t="s">
        <v>2998</v>
      </c>
      <c r="E536" s="3" t="s">
        <v>17</v>
      </c>
      <c r="F536" s="5">
        <v>1128.0</v>
      </c>
      <c r="G536" s="6">
        <v>2.0</v>
      </c>
      <c r="H536" s="7">
        <v>0.11</v>
      </c>
      <c r="I536" s="3" t="s">
        <v>34</v>
      </c>
      <c r="J536" s="3" t="s">
        <v>73</v>
      </c>
      <c r="K536" s="3" t="s">
        <v>121</v>
      </c>
      <c r="L536" s="3" t="s">
        <v>36</v>
      </c>
      <c r="M536" s="5">
        <v>2007.84</v>
      </c>
      <c r="N536" s="11">
        <f t="shared" si="1"/>
        <v>2256</v>
      </c>
    </row>
    <row r="537">
      <c r="A537" s="3" t="s">
        <v>3001</v>
      </c>
      <c r="B537" s="3" t="s">
        <v>3002</v>
      </c>
      <c r="C537" s="4">
        <v>45021.0</v>
      </c>
      <c r="D537" s="10" t="s">
        <v>3003</v>
      </c>
      <c r="E537" s="3" t="s">
        <v>17</v>
      </c>
      <c r="F537" s="5">
        <v>5918.0</v>
      </c>
      <c r="G537" s="6">
        <v>4.0</v>
      </c>
      <c r="H537" s="7">
        <v>0.09</v>
      </c>
      <c r="I537" s="3" t="s">
        <v>34</v>
      </c>
      <c r="J537" s="3" t="s">
        <v>73</v>
      </c>
      <c r="K537" s="3" t="s">
        <v>121</v>
      </c>
      <c r="L537" s="3" t="s">
        <v>46</v>
      </c>
      <c r="M537" s="5">
        <v>21541.52</v>
      </c>
      <c r="N537" s="11">
        <f t="shared" si="1"/>
        <v>23672</v>
      </c>
    </row>
    <row r="538">
      <c r="A538" s="3" t="s">
        <v>3006</v>
      </c>
      <c r="B538" s="3" t="s">
        <v>3007</v>
      </c>
      <c r="C538" s="4">
        <v>44933.0</v>
      </c>
      <c r="D538" s="10" t="s">
        <v>3009</v>
      </c>
      <c r="E538" s="3" t="s">
        <v>17</v>
      </c>
      <c r="F538" s="5">
        <v>6430.0</v>
      </c>
      <c r="G538" s="6">
        <v>4.0</v>
      </c>
      <c r="H538" s="7">
        <v>0.09</v>
      </c>
      <c r="I538" s="3" t="s">
        <v>21</v>
      </c>
      <c r="J538" s="3" t="s">
        <v>73</v>
      </c>
      <c r="K538" s="3" t="s">
        <v>81</v>
      </c>
      <c r="L538" s="3" t="s">
        <v>36</v>
      </c>
      <c r="M538" s="5">
        <v>23405.2</v>
      </c>
      <c r="N538" s="11">
        <f t="shared" si="1"/>
        <v>25720</v>
      </c>
    </row>
    <row r="539">
      <c r="A539" s="3" t="s">
        <v>3012</v>
      </c>
      <c r="B539" s="3" t="s">
        <v>3013</v>
      </c>
      <c r="C539" s="4">
        <v>45100.0</v>
      </c>
      <c r="D539" s="10" t="s">
        <v>3014</v>
      </c>
      <c r="E539" s="3" t="s">
        <v>52</v>
      </c>
      <c r="F539" s="5">
        <v>5378.0</v>
      </c>
      <c r="G539" s="6">
        <v>3.0</v>
      </c>
      <c r="H539" s="7">
        <v>0.11</v>
      </c>
      <c r="I539" s="3" t="s">
        <v>34</v>
      </c>
      <c r="J539" s="3" t="s">
        <v>45</v>
      </c>
      <c r="K539" s="3" t="s">
        <v>35</v>
      </c>
      <c r="L539" s="3" t="s">
        <v>36</v>
      </c>
      <c r="M539" s="5">
        <v>14359.26</v>
      </c>
      <c r="N539" s="11">
        <f t="shared" si="1"/>
        <v>16134</v>
      </c>
    </row>
    <row r="540">
      <c r="A540" s="3" t="s">
        <v>3016</v>
      </c>
      <c r="B540" s="3" t="s">
        <v>3017</v>
      </c>
      <c r="C540" s="4">
        <v>45172.0</v>
      </c>
      <c r="D540" s="10" t="s">
        <v>3019</v>
      </c>
      <c r="E540" s="3" t="s">
        <v>52</v>
      </c>
      <c r="F540" s="5">
        <v>187.0</v>
      </c>
      <c r="G540" s="6">
        <v>4.0</v>
      </c>
      <c r="H540" s="7">
        <v>0.18</v>
      </c>
      <c r="I540" s="3" t="s">
        <v>65</v>
      </c>
      <c r="J540" s="3" t="s">
        <v>56</v>
      </c>
      <c r="K540" s="3" t="s">
        <v>35</v>
      </c>
      <c r="L540" s="3" t="s">
        <v>24</v>
      </c>
      <c r="M540" s="5">
        <v>613.36</v>
      </c>
      <c r="N540" s="11">
        <f t="shared" si="1"/>
        <v>748</v>
      </c>
    </row>
    <row r="541">
      <c r="A541" s="3" t="s">
        <v>3022</v>
      </c>
      <c r="B541" s="3" t="s">
        <v>3023</v>
      </c>
      <c r="C541" s="4">
        <v>44942.0</v>
      </c>
      <c r="D541" s="10" t="s">
        <v>3025</v>
      </c>
      <c r="E541" s="3" t="s">
        <v>30</v>
      </c>
      <c r="F541" s="5">
        <v>5676.0</v>
      </c>
      <c r="G541" s="6">
        <v>1.0</v>
      </c>
      <c r="H541" s="7">
        <v>0.2</v>
      </c>
      <c r="I541" s="3" t="s">
        <v>21</v>
      </c>
      <c r="J541" s="3" t="s">
        <v>45</v>
      </c>
      <c r="K541" s="3" t="s">
        <v>23</v>
      </c>
      <c r="L541" s="3" t="s">
        <v>36</v>
      </c>
      <c r="M541" s="5">
        <v>4540.8</v>
      </c>
      <c r="N541" s="11">
        <f t="shared" si="1"/>
        <v>5676</v>
      </c>
    </row>
    <row r="542">
      <c r="A542" s="3" t="s">
        <v>3028</v>
      </c>
      <c r="B542" s="3" t="s">
        <v>3029</v>
      </c>
      <c r="C542" s="4">
        <v>45096.0</v>
      </c>
      <c r="D542" s="10" t="s">
        <v>3030</v>
      </c>
      <c r="E542" s="3" t="s">
        <v>52</v>
      </c>
      <c r="F542" s="5">
        <v>2789.0</v>
      </c>
      <c r="G542" s="6">
        <v>4.0</v>
      </c>
      <c r="H542" s="7">
        <v>0.09</v>
      </c>
      <c r="I542" s="3" t="s">
        <v>65</v>
      </c>
      <c r="J542" s="3" t="s">
        <v>56</v>
      </c>
      <c r="K542" s="3" t="s">
        <v>88</v>
      </c>
      <c r="L542" s="3" t="s">
        <v>24</v>
      </c>
      <c r="M542" s="5">
        <v>10151.96</v>
      </c>
      <c r="N542" s="11">
        <f t="shared" si="1"/>
        <v>11156</v>
      </c>
    </row>
    <row r="543">
      <c r="A543" s="3" t="s">
        <v>3033</v>
      </c>
      <c r="B543" s="3" t="s">
        <v>3034</v>
      </c>
      <c r="C543" s="4">
        <v>45093.0</v>
      </c>
      <c r="D543" s="10" t="s">
        <v>3035</v>
      </c>
      <c r="E543" s="3" t="s">
        <v>42</v>
      </c>
      <c r="F543" s="5">
        <v>1696.0</v>
      </c>
      <c r="G543" s="6">
        <v>3.0</v>
      </c>
      <c r="H543" s="7">
        <v>0.14</v>
      </c>
      <c r="I543" s="3" t="s">
        <v>65</v>
      </c>
      <c r="J543" s="3" t="s">
        <v>56</v>
      </c>
      <c r="K543" s="3" t="s">
        <v>35</v>
      </c>
      <c r="L543" s="3" t="s">
        <v>36</v>
      </c>
      <c r="M543" s="5">
        <v>4375.68</v>
      </c>
      <c r="N543" s="11">
        <f t="shared" si="1"/>
        <v>5088</v>
      </c>
    </row>
    <row r="544">
      <c r="A544" s="3" t="s">
        <v>3038</v>
      </c>
      <c r="B544" s="3" t="s">
        <v>3039</v>
      </c>
      <c r="C544" s="4">
        <v>45236.0</v>
      </c>
      <c r="D544" s="10" t="s">
        <v>3040</v>
      </c>
      <c r="E544" s="3" t="s">
        <v>200</v>
      </c>
      <c r="F544" s="5">
        <v>5132.0</v>
      </c>
      <c r="G544" s="6">
        <v>4.0</v>
      </c>
      <c r="H544" s="7">
        <v>0.16</v>
      </c>
      <c r="I544" s="3" t="s">
        <v>21</v>
      </c>
      <c r="J544" s="3" t="s">
        <v>56</v>
      </c>
      <c r="K544" s="3" t="s">
        <v>23</v>
      </c>
      <c r="L544" s="3" t="s">
        <v>46</v>
      </c>
      <c r="M544" s="5">
        <v>17243.52</v>
      </c>
      <c r="N544" s="11">
        <f t="shared" si="1"/>
        <v>20528</v>
      </c>
    </row>
    <row r="545">
      <c r="A545" s="3" t="s">
        <v>3043</v>
      </c>
      <c r="B545" s="3" t="s">
        <v>3044</v>
      </c>
      <c r="C545" s="4">
        <v>45009.0</v>
      </c>
      <c r="D545" s="10" t="s">
        <v>3045</v>
      </c>
      <c r="E545" s="3" t="s">
        <v>200</v>
      </c>
      <c r="F545" s="5">
        <v>7994.0</v>
      </c>
      <c r="G545" s="6">
        <v>4.0</v>
      </c>
      <c r="H545" s="7">
        <v>0.07</v>
      </c>
      <c r="I545" s="3" t="s">
        <v>34</v>
      </c>
      <c r="J545" s="3" t="s">
        <v>56</v>
      </c>
      <c r="K545" s="3" t="s">
        <v>81</v>
      </c>
      <c r="L545" s="3" t="s">
        <v>46</v>
      </c>
      <c r="M545" s="5">
        <v>29737.68</v>
      </c>
      <c r="N545" s="11">
        <f t="shared" si="1"/>
        <v>31976</v>
      </c>
    </row>
    <row r="546">
      <c r="A546" s="3" t="s">
        <v>3048</v>
      </c>
      <c r="B546" s="3" t="s">
        <v>3049</v>
      </c>
      <c r="C546" s="4">
        <v>45147.0</v>
      </c>
      <c r="D546" s="10" t="s">
        <v>3050</v>
      </c>
      <c r="E546" s="3" t="s">
        <v>200</v>
      </c>
      <c r="F546" s="5">
        <v>3230.0</v>
      </c>
      <c r="G546" s="6">
        <v>3.0</v>
      </c>
      <c r="H546" s="7">
        <v>0.09</v>
      </c>
      <c r="I546" s="3" t="s">
        <v>34</v>
      </c>
      <c r="J546" s="3" t="s">
        <v>73</v>
      </c>
      <c r="K546" s="3" t="s">
        <v>35</v>
      </c>
      <c r="L546" s="3" t="s">
        <v>24</v>
      </c>
      <c r="M546" s="5">
        <v>8817.9</v>
      </c>
      <c r="N546" s="11">
        <f t="shared" si="1"/>
        <v>9690</v>
      </c>
    </row>
    <row r="547">
      <c r="A547" s="3" t="s">
        <v>3053</v>
      </c>
      <c r="B547" s="3" t="s">
        <v>3054</v>
      </c>
      <c r="C547" s="4">
        <v>45248.0</v>
      </c>
      <c r="D547" s="10" t="s">
        <v>3055</v>
      </c>
      <c r="E547" s="3" t="s">
        <v>200</v>
      </c>
      <c r="F547" s="5">
        <v>5645.0</v>
      </c>
      <c r="G547" s="6">
        <v>2.0</v>
      </c>
      <c r="H547" s="7">
        <v>0.19</v>
      </c>
      <c r="I547" s="3" t="s">
        <v>21</v>
      </c>
      <c r="J547" s="3" t="s">
        <v>45</v>
      </c>
      <c r="K547" s="3" t="s">
        <v>88</v>
      </c>
      <c r="L547" s="3" t="s">
        <v>46</v>
      </c>
      <c r="M547" s="5">
        <v>9144.9</v>
      </c>
      <c r="N547" s="11">
        <f t="shared" si="1"/>
        <v>11290</v>
      </c>
    </row>
    <row r="548">
      <c r="A548" s="3" t="s">
        <v>3057</v>
      </c>
      <c r="B548" s="3" t="s">
        <v>3058</v>
      </c>
      <c r="C548" s="4">
        <v>45096.0</v>
      </c>
      <c r="D548" s="10" t="s">
        <v>3059</v>
      </c>
      <c r="E548" s="3" t="s">
        <v>200</v>
      </c>
      <c r="F548" s="5">
        <v>3503.0</v>
      </c>
      <c r="G548" s="6">
        <v>4.0</v>
      </c>
      <c r="H548" s="7">
        <v>0.13</v>
      </c>
      <c r="I548" s="3" t="s">
        <v>65</v>
      </c>
      <c r="J548" s="3" t="s">
        <v>73</v>
      </c>
      <c r="K548" s="3" t="s">
        <v>88</v>
      </c>
      <c r="L548" s="3" t="s">
        <v>36</v>
      </c>
      <c r="M548" s="5">
        <v>12190.44</v>
      </c>
      <c r="N548" s="11">
        <f t="shared" si="1"/>
        <v>14012</v>
      </c>
    </row>
    <row r="549">
      <c r="A549" s="3" t="s">
        <v>3062</v>
      </c>
      <c r="B549" s="3" t="s">
        <v>3063</v>
      </c>
      <c r="C549" s="4">
        <v>45249.0</v>
      </c>
      <c r="D549" s="10" t="s">
        <v>3064</v>
      </c>
      <c r="E549" s="3" t="s">
        <v>42</v>
      </c>
      <c r="F549" s="5">
        <v>2673.0</v>
      </c>
      <c r="G549" s="6">
        <v>2.0</v>
      </c>
      <c r="H549" s="7">
        <v>0.17</v>
      </c>
      <c r="I549" s="3" t="s">
        <v>55</v>
      </c>
      <c r="J549" s="3" t="s">
        <v>22</v>
      </c>
      <c r="K549" s="3" t="s">
        <v>81</v>
      </c>
      <c r="L549" s="3" t="s">
        <v>36</v>
      </c>
      <c r="M549" s="5">
        <v>4437.18</v>
      </c>
      <c r="N549" s="11">
        <f t="shared" si="1"/>
        <v>5346</v>
      </c>
    </row>
    <row r="550">
      <c r="A550" s="3" t="s">
        <v>3067</v>
      </c>
      <c r="B550" s="3" t="s">
        <v>3068</v>
      </c>
      <c r="C550" s="4">
        <v>45041.0</v>
      </c>
      <c r="D550" s="10" t="s">
        <v>3069</v>
      </c>
      <c r="E550" s="3" t="s">
        <v>42</v>
      </c>
      <c r="F550" s="5">
        <v>2018.0</v>
      </c>
      <c r="G550" s="6">
        <v>4.0</v>
      </c>
      <c r="H550" s="7">
        <v>0.16</v>
      </c>
      <c r="I550" s="3" t="s">
        <v>21</v>
      </c>
      <c r="J550" s="3" t="s">
        <v>56</v>
      </c>
      <c r="K550" s="3" t="s">
        <v>88</v>
      </c>
      <c r="L550" s="3" t="s">
        <v>36</v>
      </c>
      <c r="M550" s="5">
        <v>6780.48</v>
      </c>
      <c r="N550" s="11">
        <f t="shared" si="1"/>
        <v>8072</v>
      </c>
    </row>
    <row r="551">
      <c r="A551" s="3" t="s">
        <v>3072</v>
      </c>
      <c r="B551" s="3" t="s">
        <v>3073</v>
      </c>
      <c r="C551" s="4">
        <v>45275.0</v>
      </c>
      <c r="D551" s="10" t="s">
        <v>3074</v>
      </c>
      <c r="E551" s="3" t="s">
        <v>30</v>
      </c>
      <c r="F551" s="5">
        <v>345.0</v>
      </c>
      <c r="G551" s="6">
        <v>2.0</v>
      </c>
      <c r="H551" s="7">
        <v>0.11</v>
      </c>
      <c r="I551" s="3" t="s">
        <v>55</v>
      </c>
      <c r="J551" s="3" t="s">
        <v>22</v>
      </c>
      <c r="K551" s="3" t="s">
        <v>121</v>
      </c>
      <c r="L551" s="3" t="s">
        <v>46</v>
      </c>
      <c r="M551" s="5">
        <v>614.1</v>
      </c>
      <c r="N551" s="11">
        <f t="shared" si="1"/>
        <v>690</v>
      </c>
    </row>
    <row r="552">
      <c r="A552" s="3" t="s">
        <v>3077</v>
      </c>
      <c r="B552" s="3" t="s">
        <v>3078</v>
      </c>
      <c r="C552" s="4">
        <v>45261.0</v>
      </c>
      <c r="D552" s="10" t="s">
        <v>3079</v>
      </c>
      <c r="E552" s="3" t="s">
        <v>200</v>
      </c>
      <c r="F552" s="5">
        <v>4368.0</v>
      </c>
      <c r="G552" s="6">
        <v>4.0</v>
      </c>
      <c r="H552" s="7">
        <v>0.13</v>
      </c>
      <c r="I552" s="3" t="s">
        <v>21</v>
      </c>
      <c r="J552" s="3" t="s">
        <v>45</v>
      </c>
      <c r="K552" s="3" t="s">
        <v>88</v>
      </c>
      <c r="L552" s="3" t="s">
        <v>24</v>
      </c>
      <c r="M552" s="5">
        <v>15200.64</v>
      </c>
      <c r="N552" s="11">
        <f t="shared" si="1"/>
        <v>17472</v>
      </c>
    </row>
    <row r="553">
      <c r="A553" s="3" t="s">
        <v>3082</v>
      </c>
      <c r="B553" s="3" t="s">
        <v>3083</v>
      </c>
      <c r="C553" s="4">
        <v>45156.0</v>
      </c>
      <c r="D553" s="10" t="s">
        <v>3085</v>
      </c>
      <c r="E553" s="3" t="s">
        <v>42</v>
      </c>
      <c r="F553" s="5">
        <v>1173.0</v>
      </c>
      <c r="G553" s="6">
        <v>4.0</v>
      </c>
      <c r="H553" s="7">
        <v>0.12</v>
      </c>
      <c r="I553" s="3" t="s">
        <v>55</v>
      </c>
      <c r="J553" s="3" t="s">
        <v>56</v>
      </c>
      <c r="K553" s="3" t="s">
        <v>23</v>
      </c>
      <c r="L553" s="3" t="s">
        <v>24</v>
      </c>
      <c r="M553" s="5">
        <v>4128.96</v>
      </c>
      <c r="N553" s="11">
        <f t="shared" si="1"/>
        <v>4692</v>
      </c>
    </row>
    <row r="554">
      <c r="A554" s="3" t="s">
        <v>3087</v>
      </c>
      <c r="B554" s="3" t="s">
        <v>3088</v>
      </c>
      <c r="C554" s="4">
        <v>45146.0</v>
      </c>
      <c r="D554" s="10" t="s">
        <v>3089</v>
      </c>
      <c r="E554" s="3" t="s">
        <v>30</v>
      </c>
      <c r="F554" s="5">
        <v>8036.0</v>
      </c>
      <c r="G554" s="6">
        <v>2.0</v>
      </c>
      <c r="H554" s="7">
        <v>0.18</v>
      </c>
      <c r="I554" s="3" t="s">
        <v>65</v>
      </c>
      <c r="J554" s="3" t="s">
        <v>45</v>
      </c>
      <c r="K554" s="3" t="s">
        <v>23</v>
      </c>
      <c r="L554" s="3" t="s">
        <v>36</v>
      </c>
      <c r="M554" s="5">
        <v>13179.04</v>
      </c>
      <c r="N554" s="11">
        <f t="shared" si="1"/>
        <v>16072</v>
      </c>
    </row>
    <row r="555">
      <c r="A555" s="3" t="s">
        <v>3092</v>
      </c>
      <c r="B555" s="3" t="s">
        <v>3093</v>
      </c>
      <c r="C555" s="4">
        <v>45173.0</v>
      </c>
      <c r="D555" s="10" t="s">
        <v>3094</v>
      </c>
      <c r="E555" s="3" t="s">
        <v>200</v>
      </c>
      <c r="F555" s="5">
        <v>7272.0</v>
      </c>
      <c r="G555" s="6">
        <v>3.0</v>
      </c>
      <c r="H555" s="7">
        <v>0.16</v>
      </c>
      <c r="I555" s="3" t="s">
        <v>55</v>
      </c>
      <c r="J555" s="3" t="s">
        <v>73</v>
      </c>
      <c r="K555" s="3" t="s">
        <v>88</v>
      </c>
      <c r="L555" s="3" t="s">
        <v>36</v>
      </c>
      <c r="M555" s="5">
        <v>18325.44</v>
      </c>
      <c r="N555" s="11">
        <f t="shared" si="1"/>
        <v>21816</v>
      </c>
    </row>
    <row r="556">
      <c r="A556" s="3" t="s">
        <v>3097</v>
      </c>
      <c r="B556" s="3" t="s">
        <v>3098</v>
      </c>
      <c r="C556" s="4">
        <v>45027.0</v>
      </c>
      <c r="D556" s="10" t="s">
        <v>3099</v>
      </c>
      <c r="E556" s="3" t="s">
        <v>42</v>
      </c>
      <c r="F556" s="5">
        <v>5993.0</v>
      </c>
      <c r="G556" s="6">
        <v>4.0</v>
      </c>
      <c r="H556" s="7">
        <v>0.08</v>
      </c>
      <c r="I556" s="3" t="s">
        <v>65</v>
      </c>
      <c r="J556" s="3" t="s">
        <v>56</v>
      </c>
      <c r="K556" s="3" t="s">
        <v>23</v>
      </c>
      <c r="L556" s="3" t="s">
        <v>24</v>
      </c>
      <c r="M556" s="5">
        <v>22054.24</v>
      </c>
      <c r="N556" s="11">
        <f t="shared" si="1"/>
        <v>23972</v>
      </c>
    </row>
    <row r="557">
      <c r="A557" s="3" t="s">
        <v>3102</v>
      </c>
      <c r="B557" s="3" t="s">
        <v>3103</v>
      </c>
      <c r="C557" s="4">
        <v>45148.0</v>
      </c>
      <c r="D557" s="10" t="s">
        <v>3104</v>
      </c>
      <c r="E557" s="3" t="s">
        <v>52</v>
      </c>
      <c r="F557" s="5">
        <v>183.0</v>
      </c>
      <c r="G557" s="6">
        <v>1.0</v>
      </c>
      <c r="H557" s="7">
        <v>0.09</v>
      </c>
      <c r="I557" s="3" t="s">
        <v>65</v>
      </c>
      <c r="J557" s="3" t="s">
        <v>56</v>
      </c>
      <c r="K557" s="3" t="s">
        <v>121</v>
      </c>
      <c r="L557" s="3" t="s">
        <v>36</v>
      </c>
      <c r="M557" s="5">
        <v>166.53</v>
      </c>
      <c r="N557" s="11">
        <f t="shared" si="1"/>
        <v>183</v>
      </c>
    </row>
    <row r="558">
      <c r="A558" s="3" t="s">
        <v>3107</v>
      </c>
      <c r="B558" s="3" t="s">
        <v>3108</v>
      </c>
      <c r="C558" s="4">
        <v>45105.0</v>
      </c>
      <c r="D558" s="10" t="s">
        <v>3109</v>
      </c>
      <c r="E558" s="3" t="s">
        <v>17</v>
      </c>
      <c r="F558" s="5">
        <v>564.0</v>
      </c>
      <c r="G558" s="6">
        <v>4.0</v>
      </c>
      <c r="H558" s="7">
        <v>0.08</v>
      </c>
      <c r="I558" s="3" t="s">
        <v>34</v>
      </c>
      <c r="J558" s="3" t="s">
        <v>73</v>
      </c>
      <c r="K558" s="3" t="s">
        <v>81</v>
      </c>
      <c r="L558" s="3" t="s">
        <v>36</v>
      </c>
      <c r="M558" s="5">
        <v>2075.52</v>
      </c>
      <c r="N558" s="11">
        <f t="shared" si="1"/>
        <v>2256</v>
      </c>
    </row>
    <row r="559">
      <c r="A559" s="3" t="s">
        <v>3112</v>
      </c>
      <c r="B559" s="3" t="s">
        <v>3113</v>
      </c>
      <c r="C559" s="4">
        <v>45101.0</v>
      </c>
      <c r="D559" s="10" t="s">
        <v>3114</v>
      </c>
      <c r="E559" s="3" t="s">
        <v>200</v>
      </c>
      <c r="F559" s="5">
        <v>3200.0</v>
      </c>
      <c r="G559" s="6">
        <v>1.0</v>
      </c>
      <c r="H559" s="7">
        <v>0.13</v>
      </c>
      <c r="I559" s="3" t="s">
        <v>55</v>
      </c>
      <c r="J559" s="3" t="s">
        <v>22</v>
      </c>
      <c r="K559" s="3" t="s">
        <v>81</v>
      </c>
      <c r="L559" s="3" t="s">
        <v>24</v>
      </c>
      <c r="M559" s="5">
        <v>2784.0</v>
      </c>
      <c r="N559" s="11">
        <f t="shared" si="1"/>
        <v>3200</v>
      </c>
    </row>
    <row r="560">
      <c r="A560" s="3" t="s">
        <v>3117</v>
      </c>
      <c r="B560" s="3" t="s">
        <v>3118</v>
      </c>
      <c r="C560" s="4">
        <v>45020.0</v>
      </c>
      <c r="D560" s="10" t="s">
        <v>3119</v>
      </c>
      <c r="E560" s="3" t="s">
        <v>42</v>
      </c>
      <c r="F560" s="5">
        <v>3432.0</v>
      </c>
      <c r="G560" s="6">
        <v>1.0</v>
      </c>
      <c r="H560" s="7">
        <v>0.2</v>
      </c>
      <c r="I560" s="3" t="s">
        <v>34</v>
      </c>
      <c r="J560" s="3" t="s">
        <v>56</v>
      </c>
      <c r="K560" s="3" t="s">
        <v>23</v>
      </c>
      <c r="L560" s="3" t="s">
        <v>24</v>
      </c>
      <c r="M560" s="5">
        <v>2745.6</v>
      </c>
      <c r="N560" s="11">
        <f t="shared" si="1"/>
        <v>3432</v>
      </c>
    </row>
    <row r="561">
      <c r="A561" s="3" t="s">
        <v>3121</v>
      </c>
      <c r="B561" s="3" t="s">
        <v>3122</v>
      </c>
      <c r="C561" s="4">
        <v>45041.0</v>
      </c>
      <c r="D561" s="10" t="s">
        <v>3123</v>
      </c>
      <c r="E561" s="3" t="s">
        <v>42</v>
      </c>
      <c r="F561" s="5">
        <v>4485.0</v>
      </c>
      <c r="G561" s="6">
        <v>1.0</v>
      </c>
      <c r="H561" s="7">
        <v>0.06</v>
      </c>
      <c r="I561" s="3" t="s">
        <v>21</v>
      </c>
      <c r="J561" s="3" t="s">
        <v>73</v>
      </c>
      <c r="K561" s="3" t="s">
        <v>35</v>
      </c>
      <c r="L561" s="3" t="s">
        <v>24</v>
      </c>
      <c r="M561" s="5">
        <v>4215.9</v>
      </c>
      <c r="N561" s="11">
        <f t="shared" si="1"/>
        <v>4485</v>
      </c>
    </row>
    <row r="562">
      <c r="A562" s="3" t="s">
        <v>3126</v>
      </c>
      <c r="B562" s="3" t="s">
        <v>3127</v>
      </c>
      <c r="C562" s="4">
        <v>45088.0</v>
      </c>
      <c r="D562" s="10" t="s">
        <v>3128</v>
      </c>
      <c r="E562" s="3" t="s">
        <v>30</v>
      </c>
      <c r="F562" s="5">
        <v>2126.0</v>
      </c>
      <c r="G562" s="6">
        <v>2.0</v>
      </c>
      <c r="H562" s="7">
        <v>0.08</v>
      </c>
      <c r="I562" s="3" t="s">
        <v>55</v>
      </c>
      <c r="J562" s="3" t="s">
        <v>45</v>
      </c>
      <c r="K562" s="3" t="s">
        <v>23</v>
      </c>
      <c r="L562" s="3" t="s">
        <v>24</v>
      </c>
      <c r="M562" s="5">
        <v>3911.84</v>
      </c>
      <c r="N562" s="11">
        <f t="shared" si="1"/>
        <v>4252</v>
      </c>
    </row>
    <row r="563">
      <c r="A563" s="3" t="s">
        <v>3131</v>
      </c>
      <c r="B563" s="3" t="s">
        <v>3132</v>
      </c>
      <c r="C563" s="4">
        <v>45195.0</v>
      </c>
      <c r="D563" s="10" t="s">
        <v>3134</v>
      </c>
      <c r="E563" s="3" t="s">
        <v>52</v>
      </c>
      <c r="F563" s="5">
        <v>1012.0</v>
      </c>
      <c r="G563" s="6">
        <v>4.0</v>
      </c>
      <c r="H563" s="7">
        <v>0.16</v>
      </c>
      <c r="I563" s="3" t="s">
        <v>55</v>
      </c>
      <c r="J563" s="3" t="s">
        <v>22</v>
      </c>
      <c r="K563" s="3" t="s">
        <v>35</v>
      </c>
      <c r="L563" s="3" t="s">
        <v>36</v>
      </c>
      <c r="M563" s="5">
        <v>3400.32</v>
      </c>
      <c r="N563" s="11">
        <f t="shared" si="1"/>
        <v>4048</v>
      </c>
    </row>
    <row r="564">
      <c r="A564" s="3" t="s">
        <v>3137</v>
      </c>
      <c r="B564" s="3" t="s">
        <v>3138</v>
      </c>
      <c r="C564" s="4">
        <v>45151.0</v>
      </c>
      <c r="D564" s="10" t="s">
        <v>3139</v>
      </c>
      <c r="E564" s="3" t="s">
        <v>52</v>
      </c>
      <c r="F564" s="5">
        <v>1032.0</v>
      </c>
      <c r="G564" s="6">
        <v>3.0</v>
      </c>
      <c r="H564" s="7">
        <v>0.19</v>
      </c>
      <c r="I564" s="3" t="s">
        <v>55</v>
      </c>
      <c r="J564" s="3" t="s">
        <v>22</v>
      </c>
      <c r="K564" s="3" t="s">
        <v>88</v>
      </c>
      <c r="L564" s="3" t="s">
        <v>46</v>
      </c>
      <c r="M564" s="5">
        <v>2507.76</v>
      </c>
      <c r="N564" s="11">
        <f t="shared" si="1"/>
        <v>3096</v>
      </c>
    </row>
    <row r="565">
      <c r="A565" s="3" t="s">
        <v>3142</v>
      </c>
      <c r="B565" s="3" t="s">
        <v>3143</v>
      </c>
      <c r="C565" s="4">
        <v>45160.0</v>
      </c>
      <c r="D565" s="10" t="s">
        <v>3144</v>
      </c>
      <c r="E565" s="3" t="s">
        <v>52</v>
      </c>
      <c r="F565" s="5">
        <v>8098.0</v>
      </c>
      <c r="G565" s="6">
        <v>2.0</v>
      </c>
      <c r="H565" s="7">
        <v>0.06</v>
      </c>
      <c r="I565" s="3" t="s">
        <v>34</v>
      </c>
      <c r="J565" s="3" t="s">
        <v>73</v>
      </c>
      <c r="K565" s="3" t="s">
        <v>121</v>
      </c>
      <c r="L565" s="3" t="s">
        <v>46</v>
      </c>
      <c r="M565" s="5">
        <v>15224.24</v>
      </c>
      <c r="N565" s="11">
        <f t="shared" si="1"/>
        <v>16196</v>
      </c>
    </row>
    <row r="566">
      <c r="A566" s="3" t="s">
        <v>3147</v>
      </c>
      <c r="B566" s="3" t="s">
        <v>3148</v>
      </c>
      <c r="C566" s="4">
        <v>45263.0</v>
      </c>
      <c r="D566" s="10" t="s">
        <v>3149</v>
      </c>
      <c r="E566" s="3" t="s">
        <v>42</v>
      </c>
      <c r="F566" s="5">
        <v>8133.0</v>
      </c>
      <c r="G566" s="6">
        <v>2.0</v>
      </c>
      <c r="H566" s="7">
        <v>0.05</v>
      </c>
      <c r="I566" s="3" t="s">
        <v>65</v>
      </c>
      <c r="J566" s="3" t="s">
        <v>22</v>
      </c>
      <c r="K566" s="3" t="s">
        <v>35</v>
      </c>
      <c r="L566" s="3" t="s">
        <v>46</v>
      </c>
      <c r="M566" s="5">
        <v>15452.7</v>
      </c>
      <c r="N566" s="11">
        <f t="shared" si="1"/>
        <v>16266</v>
      </c>
    </row>
    <row r="567">
      <c r="A567" s="3" t="s">
        <v>3152</v>
      </c>
      <c r="B567" s="3" t="s">
        <v>3153</v>
      </c>
      <c r="C567" s="4">
        <v>44993.0</v>
      </c>
      <c r="D567" s="10" t="s">
        <v>3155</v>
      </c>
      <c r="E567" s="3" t="s">
        <v>17</v>
      </c>
      <c r="F567" s="5">
        <v>9269.0</v>
      </c>
      <c r="G567" s="6">
        <v>3.0</v>
      </c>
      <c r="H567" s="7">
        <v>0.18</v>
      </c>
      <c r="I567" s="3" t="s">
        <v>34</v>
      </c>
      <c r="J567" s="3" t="s">
        <v>56</v>
      </c>
      <c r="K567" s="3" t="s">
        <v>81</v>
      </c>
      <c r="L567" s="3" t="s">
        <v>46</v>
      </c>
      <c r="M567" s="5">
        <v>22801.74</v>
      </c>
      <c r="N567" s="11">
        <f t="shared" si="1"/>
        <v>27807</v>
      </c>
    </row>
    <row r="568">
      <c r="A568" s="3" t="s">
        <v>3158</v>
      </c>
      <c r="B568" s="3" t="s">
        <v>3159</v>
      </c>
      <c r="C568" s="4">
        <v>45052.0</v>
      </c>
      <c r="D568" s="10" t="s">
        <v>3160</v>
      </c>
      <c r="E568" s="3" t="s">
        <v>30</v>
      </c>
      <c r="F568" s="5">
        <v>4552.0</v>
      </c>
      <c r="G568" s="6">
        <v>4.0</v>
      </c>
      <c r="H568" s="7">
        <v>0.12</v>
      </c>
      <c r="I568" s="3" t="s">
        <v>34</v>
      </c>
      <c r="J568" s="3" t="s">
        <v>22</v>
      </c>
      <c r="K568" s="3" t="s">
        <v>121</v>
      </c>
      <c r="L568" s="3" t="s">
        <v>24</v>
      </c>
      <c r="M568" s="5">
        <v>16023.04</v>
      </c>
      <c r="N568" s="11">
        <f t="shared" si="1"/>
        <v>18208</v>
      </c>
    </row>
    <row r="569">
      <c r="A569" s="3" t="s">
        <v>3162</v>
      </c>
      <c r="B569" s="3" t="s">
        <v>3163</v>
      </c>
      <c r="C569" s="4">
        <v>45065.0</v>
      </c>
      <c r="D569" s="10" t="s">
        <v>3164</v>
      </c>
      <c r="E569" s="3" t="s">
        <v>52</v>
      </c>
      <c r="F569" s="5">
        <v>1924.0</v>
      </c>
      <c r="G569" s="6">
        <v>3.0</v>
      </c>
      <c r="H569" s="7">
        <v>0.09</v>
      </c>
      <c r="I569" s="3" t="s">
        <v>21</v>
      </c>
      <c r="J569" s="3" t="s">
        <v>73</v>
      </c>
      <c r="K569" s="3" t="s">
        <v>23</v>
      </c>
      <c r="L569" s="3" t="s">
        <v>24</v>
      </c>
      <c r="M569" s="5">
        <v>5252.52</v>
      </c>
      <c r="N569" s="11">
        <f t="shared" si="1"/>
        <v>5772</v>
      </c>
    </row>
    <row r="570">
      <c r="A570" s="3" t="s">
        <v>3167</v>
      </c>
      <c r="B570" s="3" t="s">
        <v>3168</v>
      </c>
      <c r="C570" s="4">
        <v>45039.0</v>
      </c>
      <c r="D570" s="10" t="s">
        <v>3169</v>
      </c>
      <c r="E570" s="3" t="s">
        <v>42</v>
      </c>
      <c r="F570" s="5">
        <v>296.0</v>
      </c>
      <c r="G570" s="6">
        <v>3.0</v>
      </c>
      <c r="H570" s="7">
        <v>0.17</v>
      </c>
      <c r="I570" s="3" t="s">
        <v>55</v>
      </c>
      <c r="J570" s="3" t="s">
        <v>56</v>
      </c>
      <c r="K570" s="3" t="s">
        <v>81</v>
      </c>
      <c r="L570" s="3" t="s">
        <v>24</v>
      </c>
      <c r="M570" s="5">
        <v>737.04</v>
      </c>
      <c r="N570" s="11">
        <f t="shared" si="1"/>
        <v>888</v>
      </c>
    </row>
    <row r="571">
      <c r="A571" s="3" t="s">
        <v>3171</v>
      </c>
      <c r="B571" s="3" t="s">
        <v>3172</v>
      </c>
      <c r="C571" s="4">
        <v>45145.0</v>
      </c>
      <c r="D571" s="10" t="s">
        <v>3173</v>
      </c>
      <c r="E571" s="3" t="s">
        <v>30</v>
      </c>
      <c r="F571" s="5">
        <v>1567.0</v>
      </c>
      <c r="G571" s="6">
        <v>2.0</v>
      </c>
      <c r="H571" s="7">
        <v>0.08</v>
      </c>
      <c r="I571" s="3" t="s">
        <v>21</v>
      </c>
      <c r="J571" s="3" t="s">
        <v>22</v>
      </c>
      <c r="K571" s="3" t="s">
        <v>81</v>
      </c>
      <c r="L571" s="3" t="s">
        <v>24</v>
      </c>
      <c r="M571" s="5">
        <v>2883.28</v>
      </c>
      <c r="N571" s="11">
        <f t="shared" si="1"/>
        <v>3134</v>
      </c>
    </row>
    <row r="572">
      <c r="A572" s="3" t="s">
        <v>3176</v>
      </c>
      <c r="B572" s="3" t="s">
        <v>3177</v>
      </c>
      <c r="C572" s="4">
        <v>45082.0</v>
      </c>
      <c r="D572" s="10" t="s">
        <v>3179</v>
      </c>
      <c r="E572" s="3" t="s">
        <v>30</v>
      </c>
      <c r="F572" s="5">
        <v>7112.0</v>
      </c>
      <c r="G572" s="6">
        <v>1.0</v>
      </c>
      <c r="H572" s="7">
        <v>0.17</v>
      </c>
      <c r="I572" s="3" t="s">
        <v>65</v>
      </c>
      <c r="J572" s="3" t="s">
        <v>22</v>
      </c>
      <c r="K572" s="3" t="s">
        <v>121</v>
      </c>
      <c r="L572" s="3" t="s">
        <v>46</v>
      </c>
      <c r="M572" s="5">
        <v>5902.96</v>
      </c>
      <c r="N572" s="11">
        <f t="shared" si="1"/>
        <v>7112</v>
      </c>
    </row>
    <row r="573">
      <c r="A573" s="3" t="s">
        <v>3182</v>
      </c>
      <c r="B573" s="3" t="s">
        <v>3183</v>
      </c>
      <c r="C573" s="4">
        <v>45111.0</v>
      </c>
      <c r="D573" s="10" t="s">
        <v>3184</v>
      </c>
      <c r="E573" s="3" t="s">
        <v>42</v>
      </c>
      <c r="F573" s="5">
        <v>1300.0</v>
      </c>
      <c r="G573" s="6">
        <v>4.0</v>
      </c>
      <c r="H573" s="7">
        <v>0.14</v>
      </c>
      <c r="I573" s="3" t="s">
        <v>21</v>
      </c>
      <c r="J573" s="3" t="s">
        <v>73</v>
      </c>
      <c r="K573" s="3" t="s">
        <v>23</v>
      </c>
      <c r="L573" s="3" t="s">
        <v>24</v>
      </c>
      <c r="M573" s="5">
        <v>4472.0</v>
      </c>
      <c r="N573" s="11">
        <f t="shared" si="1"/>
        <v>5200</v>
      </c>
    </row>
    <row r="574">
      <c r="A574" s="3" t="s">
        <v>3187</v>
      </c>
      <c r="B574" s="3" t="s">
        <v>3188</v>
      </c>
      <c r="C574" s="4">
        <v>45047.0</v>
      </c>
      <c r="D574" s="10" t="s">
        <v>3189</v>
      </c>
      <c r="E574" s="3" t="s">
        <v>52</v>
      </c>
      <c r="F574" s="5">
        <v>3325.0</v>
      </c>
      <c r="G574" s="6">
        <v>2.0</v>
      </c>
      <c r="H574" s="7">
        <v>0.1</v>
      </c>
      <c r="I574" s="3" t="s">
        <v>34</v>
      </c>
      <c r="J574" s="3" t="s">
        <v>22</v>
      </c>
      <c r="K574" s="3" t="s">
        <v>23</v>
      </c>
      <c r="L574" s="3" t="s">
        <v>36</v>
      </c>
      <c r="M574" s="5">
        <v>5985.0</v>
      </c>
      <c r="N574" s="11">
        <f t="shared" si="1"/>
        <v>6650</v>
      </c>
    </row>
    <row r="575">
      <c r="A575" s="3" t="s">
        <v>3192</v>
      </c>
      <c r="B575" s="3" t="s">
        <v>3193</v>
      </c>
      <c r="C575" s="4">
        <v>45248.0</v>
      </c>
      <c r="D575" s="10" t="s">
        <v>3194</v>
      </c>
      <c r="E575" s="3" t="s">
        <v>30</v>
      </c>
      <c r="F575" s="5">
        <v>6342.0</v>
      </c>
      <c r="G575" s="6">
        <v>4.0</v>
      </c>
      <c r="H575" s="7">
        <v>0.06</v>
      </c>
      <c r="I575" s="3" t="s">
        <v>21</v>
      </c>
      <c r="J575" s="3" t="s">
        <v>73</v>
      </c>
      <c r="K575" s="3" t="s">
        <v>23</v>
      </c>
      <c r="L575" s="3" t="s">
        <v>46</v>
      </c>
      <c r="M575" s="5">
        <v>23845.92</v>
      </c>
      <c r="N575" s="11">
        <f t="shared" si="1"/>
        <v>25368</v>
      </c>
    </row>
    <row r="576">
      <c r="A576" s="3" t="s">
        <v>3197</v>
      </c>
      <c r="B576" s="3" t="s">
        <v>3198</v>
      </c>
      <c r="C576" s="4">
        <v>45124.0</v>
      </c>
      <c r="D576" s="10" t="s">
        <v>3199</v>
      </c>
      <c r="E576" s="3" t="s">
        <v>42</v>
      </c>
      <c r="F576" s="5">
        <v>3384.0</v>
      </c>
      <c r="G576" s="6">
        <v>2.0</v>
      </c>
      <c r="H576" s="7">
        <v>0.2</v>
      </c>
      <c r="I576" s="3" t="s">
        <v>55</v>
      </c>
      <c r="J576" s="3" t="s">
        <v>56</v>
      </c>
      <c r="K576" s="3" t="s">
        <v>23</v>
      </c>
      <c r="L576" s="3" t="s">
        <v>46</v>
      </c>
      <c r="M576" s="5">
        <v>5414.4</v>
      </c>
      <c r="N576" s="11">
        <f t="shared" si="1"/>
        <v>6768</v>
      </c>
    </row>
    <row r="577">
      <c r="A577" s="3" t="s">
        <v>3202</v>
      </c>
      <c r="B577" s="3" t="s">
        <v>3203</v>
      </c>
      <c r="C577" s="4">
        <v>45271.0</v>
      </c>
      <c r="D577" s="10" t="s">
        <v>3205</v>
      </c>
      <c r="E577" s="3" t="s">
        <v>52</v>
      </c>
      <c r="F577" s="5">
        <v>4991.0</v>
      </c>
      <c r="G577" s="6">
        <v>3.0</v>
      </c>
      <c r="H577" s="7">
        <v>0.12</v>
      </c>
      <c r="I577" s="3" t="s">
        <v>21</v>
      </c>
      <c r="J577" s="3" t="s">
        <v>22</v>
      </c>
      <c r="K577" s="3" t="s">
        <v>35</v>
      </c>
      <c r="L577" s="3" t="s">
        <v>46</v>
      </c>
      <c r="M577" s="5">
        <v>13176.24</v>
      </c>
      <c r="N577" s="11">
        <f t="shared" si="1"/>
        <v>14973</v>
      </c>
    </row>
    <row r="578">
      <c r="A578" s="3" t="s">
        <v>3208</v>
      </c>
      <c r="B578" s="3" t="s">
        <v>3209</v>
      </c>
      <c r="C578" s="4">
        <v>45217.0</v>
      </c>
      <c r="D578" s="10" t="s">
        <v>3210</v>
      </c>
      <c r="E578" s="3" t="s">
        <v>42</v>
      </c>
      <c r="F578" s="5">
        <v>579.0</v>
      </c>
      <c r="G578" s="6">
        <v>4.0</v>
      </c>
      <c r="H578" s="7">
        <v>0.16</v>
      </c>
      <c r="I578" s="3" t="s">
        <v>55</v>
      </c>
      <c r="J578" s="3" t="s">
        <v>22</v>
      </c>
      <c r="K578" s="3" t="s">
        <v>81</v>
      </c>
      <c r="L578" s="3" t="s">
        <v>36</v>
      </c>
      <c r="M578" s="5">
        <v>1945.44</v>
      </c>
      <c r="N578" s="11">
        <f t="shared" si="1"/>
        <v>2316</v>
      </c>
    </row>
    <row r="579">
      <c r="A579" s="3" t="s">
        <v>3212</v>
      </c>
      <c r="B579" s="3" t="s">
        <v>3213</v>
      </c>
      <c r="C579" s="4">
        <v>44930.0</v>
      </c>
      <c r="D579" s="10" t="s">
        <v>3214</v>
      </c>
      <c r="E579" s="3" t="s">
        <v>17</v>
      </c>
      <c r="F579" s="5">
        <v>606.0</v>
      </c>
      <c r="G579" s="6">
        <v>2.0</v>
      </c>
      <c r="H579" s="7">
        <v>0.06</v>
      </c>
      <c r="I579" s="3" t="s">
        <v>55</v>
      </c>
      <c r="J579" s="3" t="s">
        <v>56</v>
      </c>
      <c r="K579" s="3" t="s">
        <v>23</v>
      </c>
      <c r="L579" s="3" t="s">
        <v>36</v>
      </c>
      <c r="M579" s="5">
        <v>1139.28</v>
      </c>
      <c r="N579" s="11">
        <f t="shared" si="1"/>
        <v>1212</v>
      </c>
    </row>
    <row r="580">
      <c r="A580" s="3" t="s">
        <v>3217</v>
      </c>
      <c r="B580" s="3" t="s">
        <v>3218</v>
      </c>
      <c r="C580" s="4">
        <v>45115.0</v>
      </c>
      <c r="D580" s="10" t="s">
        <v>3220</v>
      </c>
      <c r="E580" s="3" t="s">
        <v>200</v>
      </c>
      <c r="F580" s="5">
        <v>7845.0</v>
      </c>
      <c r="G580" s="6">
        <v>4.0</v>
      </c>
      <c r="H580" s="7">
        <v>0.15</v>
      </c>
      <c r="I580" s="3" t="s">
        <v>21</v>
      </c>
      <c r="J580" s="3" t="s">
        <v>56</v>
      </c>
      <c r="K580" s="3" t="s">
        <v>81</v>
      </c>
      <c r="L580" s="3" t="s">
        <v>36</v>
      </c>
      <c r="M580" s="5">
        <v>26673.0</v>
      </c>
      <c r="N580" s="11">
        <f t="shared" si="1"/>
        <v>31380</v>
      </c>
    </row>
    <row r="581">
      <c r="A581" s="3" t="s">
        <v>3223</v>
      </c>
      <c r="B581" s="3" t="s">
        <v>3224</v>
      </c>
      <c r="C581" s="4">
        <v>45165.0</v>
      </c>
      <c r="D581" s="10" t="s">
        <v>3225</v>
      </c>
      <c r="E581" s="3" t="s">
        <v>42</v>
      </c>
      <c r="F581" s="5">
        <v>4279.0</v>
      </c>
      <c r="G581" s="6">
        <v>1.0</v>
      </c>
      <c r="H581" s="7">
        <v>0.12</v>
      </c>
      <c r="I581" s="3" t="s">
        <v>34</v>
      </c>
      <c r="J581" s="3" t="s">
        <v>73</v>
      </c>
      <c r="K581" s="3" t="s">
        <v>121</v>
      </c>
      <c r="L581" s="3" t="s">
        <v>36</v>
      </c>
      <c r="M581" s="5">
        <v>3765.52</v>
      </c>
      <c r="N581" s="11">
        <f t="shared" si="1"/>
        <v>4279</v>
      </c>
    </row>
    <row r="582">
      <c r="A582" s="3" t="s">
        <v>3228</v>
      </c>
      <c r="B582" s="3" t="s">
        <v>3229</v>
      </c>
      <c r="C582" s="4">
        <v>45092.0</v>
      </c>
      <c r="D582" s="10" t="s">
        <v>3230</v>
      </c>
      <c r="E582" s="3" t="s">
        <v>30</v>
      </c>
      <c r="F582" s="5">
        <v>7670.0</v>
      </c>
      <c r="G582" s="6">
        <v>1.0</v>
      </c>
      <c r="H582" s="7">
        <v>0.1</v>
      </c>
      <c r="I582" s="3" t="s">
        <v>65</v>
      </c>
      <c r="J582" s="3" t="s">
        <v>56</v>
      </c>
      <c r="K582" s="3" t="s">
        <v>121</v>
      </c>
      <c r="L582" s="3" t="s">
        <v>46</v>
      </c>
      <c r="M582" s="5">
        <v>6903.0</v>
      </c>
      <c r="N582" s="11">
        <f t="shared" si="1"/>
        <v>7670</v>
      </c>
    </row>
    <row r="583">
      <c r="A583" s="3" t="s">
        <v>3233</v>
      </c>
      <c r="B583" s="3" t="s">
        <v>3234</v>
      </c>
      <c r="C583" s="4">
        <v>45098.0</v>
      </c>
      <c r="D583" s="10" t="s">
        <v>3235</v>
      </c>
      <c r="E583" s="3" t="s">
        <v>42</v>
      </c>
      <c r="F583" s="5">
        <v>6694.0</v>
      </c>
      <c r="G583" s="6">
        <v>4.0</v>
      </c>
      <c r="H583" s="7">
        <v>0.11</v>
      </c>
      <c r="I583" s="3" t="s">
        <v>55</v>
      </c>
      <c r="J583" s="3" t="s">
        <v>73</v>
      </c>
      <c r="K583" s="3" t="s">
        <v>81</v>
      </c>
      <c r="L583" s="3" t="s">
        <v>24</v>
      </c>
      <c r="M583" s="5">
        <v>23830.64</v>
      </c>
      <c r="N583" s="11">
        <f t="shared" si="1"/>
        <v>26776</v>
      </c>
    </row>
    <row r="584">
      <c r="A584" s="3" t="s">
        <v>3238</v>
      </c>
      <c r="B584" s="3" t="s">
        <v>3239</v>
      </c>
      <c r="C584" s="4">
        <v>45138.0</v>
      </c>
      <c r="D584" s="10" t="s">
        <v>3240</v>
      </c>
      <c r="E584" s="3" t="s">
        <v>52</v>
      </c>
      <c r="F584" s="5">
        <v>4645.0</v>
      </c>
      <c r="G584" s="6">
        <v>4.0</v>
      </c>
      <c r="H584" s="7">
        <v>0.19</v>
      </c>
      <c r="I584" s="3" t="s">
        <v>34</v>
      </c>
      <c r="J584" s="3" t="s">
        <v>73</v>
      </c>
      <c r="K584" s="3" t="s">
        <v>35</v>
      </c>
      <c r="L584" s="3" t="s">
        <v>36</v>
      </c>
      <c r="M584" s="5">
        <v>15049.8</v>
      </c>
      <c r="N584" s="11">
        <f t="shared" si="1"/>
        <v>18580</v>
      </c>
    </row>
    <row r="585">
      <c r="A585" s="3" t="s">
        <v>3243</v>
      </c>
      <c r="B585" s="3" t="s">
        <v>3244</v>
      </c>
      <c r="C585" s="4">
        <v>45271.0</v>
      </c>
      <c r="D585" s="10" t="s">
        <v>3245</v>
      </c>
      <c r="E585" s="3" t="s">
        <v>200</v>
      </c>
      <c r="F585" s="5">
        <v>5542.0</v>
      </c>
      <c r="G585" s="6">
        <v>4.0</v>
      </c>
      <c r="H585" s="7">
        <v>0.05</v>
      </c>
      <c r="I585" s="3" t="s">
        <v>21</v>
      </c>
      <c r="J585" s="3" t="s">
        <v>45</v>
      </c>
      <c r="K585" s="3" t="s">
        <v>35</v>
      </c>
      <c r="L585" s="3" t="s">
        <v>36</v>
      </c>
      <c r="M585" s="5">
        <v>21059.6</v>
      </c>
      <c r="N585" s="11">
        <f t="shared" si="1"/>
        <v>22168</v>
      </c>
    </row>
    <row r="586">
      <c r="A586" s="3" t="s">
        <v>3248</v>
      </c>
      <c r="B586" s="3" t="s">
        <v>3249</v>
      </c>
      <c r="C586" s="4">
        <v>44997.0</v>
      </c>
      <c r="D586" s="10" t="s">
        <v>3250</v>
      </c>
      <c r="E586" s="3" t="s">
        <v>30</v>
      </c>
      <c r="F586" s="5">
        <v>5710.0</v>
      </c>
      <c r="G586" s="6">
        <v>4.0</v>
      </c>
      <c r="H586" s="7">
        <v>0.13</v>
      </c>
      <c r="I586" s="3" t="s">
        <v>21</v>
      </c>
      <c r="J586" s="3" t="s">
        <v>73</v>
      </c>
      <c r="K586" s="3" t="s">
        <v>23</v>
      </c>
      <c r="L586" s="3" t="s">
        <v>24</v>
      </c>
      <c r="M586" s="5">
        <v>19870.8</v>
      </c>
      <c r="N586" s="11">
        <f t="shared" si="1"/>
        <v>22840</v>
      </c>
    </row>
    <row r="587">
      <c r="A587" s="3" t="s">
        <v>3253</v>
      </c>
      <c r="B587" s="3" t="s">
        <v>3254</v>
      </c>
      <c r="C587" s="4">
        <v>45075.0</v>
      </c>
      <c r="D587" s="10" t="s">
        <v>3255</v>
      </c>
      <c r="E587" s="3" t="s">
        <v>30</v>
      </c>
      <c r="F587" s="5">
        <v>4273.0</v>
      </c>
      <c r="G587" s="6">
        <v>2.0</v>
      </c>
      <c r="H587" s="7">
        <v>0.06</v>
      </c>
      <c r="I587" s="3" t="s">
        <v>55</v>
      </c>
      <c r="J587" s="3" t="s">
        <v>73</v>
      </c>
      <c r="K587" s="3" t="s">
        <v>23</v>
      </c>
      <c r="L587" s="3" t="s">
        <v>46</v>
      </c>
      <c r="M587" s="5">
        <v>8033.24</v>
      </c>
      <c r="N587" s="11">
        <f t="shared" si="1"/>
        <v>8546</v>
      </c>
    </row>
    <row r="588">
      <c r="A588" s="3" t="s">
        <v>3258</v>
      </c>
      <c r="B588" s="3" t="s">
        <v>3259</v>
      </c>
      <c r="C588" s="4">
        <v>45211.0</v>
      </c>
      <c r="D588" s="10" t="s">
        <v>3260</v>
      </c>
      <c r="E588" s="3" t="s">
        <v>200</v>
      </c>
      <c r="F588" s="5">
        <v>4671.0</v>
      </c>
      <c r="G588" s="6">
        <v>3.0</v>
      </c>
      <c r="H588" s="7">
        <v>0.15</v>
      </c>
      <c r="I588" s="3" t="s">
        <v>34</v>
      </c>
      <c r="J588" s="3" t="s">
        <v>56</v>
      </c>
      <c r="K588" s="3" t="s">
        <v>88</v>
      </c>
      <c r="L588" s="3" t="s">
        <v>36</v>
      </c>
      <c r="M588" s="5">
        <v>11911.05</v>
      </c>
      <c r="N588" s="11">
        <f t="shared" si="1"/>
        <v>14013</v>
      </c>
    </row>
    <row r="589">
      <c r="A589" s="3" t="s">
        <v>3263</v>
      </c>
      <c r="B589" s="3" t="s">
        <v>3264</v>
      </c>
      <c r="C589" s="4">
        <v>45042.0</v>
      </c>
      <c r="D589" s="10" t="s">
        <v>3265</v>
      </c>
      <c r="E589" s="3" t="s">
        <v>52</v>
      </c>
      <c r="F589" s="5">
        <v>5451.0</v>
      </c>
      <c r="G589" s="6">
        <v>2.0</v>
      </c>
      <c r="H589" s="7">
        <v>0.05</v>
      </c>
      <c r="I589" s="3" t="s">
        <v>34</v>
      </c>
      <c r="J589" s="3" t="s">
        <v>22</v>
      </c>
      <c r="K589" s="3" t="s">
        <v>23</v>
      </c>
      <c r="L589" s="3" t="s">
        <v>36</v>
      </c>
      <c r="M589" s="5">
        <v>10356.9</v>
      </c>
      <c r="N589" s="11">
        <f t="shared" si="1"/>
        <v>10902</v>
      </c>
    </row>
    <row r="590">
      <c r="A590" s="3" t="s">
        <v>3268</v>
      </c>
      <c r="B590" s="3" t="s">
        <v>3269</v>
      </c>
      <c r="C590" s="4">
        <v>45249.0</v>
      </c>
      <c r="D590" s="10" t="s">
        <v>3270</v>
      </c>
      <c r="E590" s="3" t="s">
        <v>30</v>
      </c>
      <c r="F590" s="5">
        <v>8721.0</v>
      </c>
      <c r="G590" s="6">
        <v>1.0</v>
      </c>
      <c r="H590" s="7">
        <v>0.07</v>
      </c>
      <c r="I590" s="3" t="s">
        <v>65</v>
      </c>
      <c r="J590" s="3" t="s">
        <v>73</v>
      </c>
      <c r="K590" s="3" t="s">
        <v>23</v>
      </c>
      <c r="L590" s="3" t="s">
        <v>46</v>
      </c>
      <c r="M590" s="5">
        <v>8110.53</v>
      </c>
      <c r="N590" s="11">
        <f t="shared" si="1"/>
        <v>8721</v>
      </c>
    </row>
    <row r="591">
      <c r="A591" s="3" t="s">
        <v>3273</v>
      </c>
      <c r="B591" s="3" t="s">
        <v>3274</v>
      </c>
      <c r="C591" s="4">
        <v>45019.0</v>
      </c>
      <c r="D591" s="10" t="s">
        <v>3276</v>
      </c>
      <c r="E591" s="3" t="s">
        <v>30</v>
      </c>
      <c r="F591" s="5">
        <v>885.0</v>
      </c>
      <c r="G591" s="6">
        <v>1.0</v>
      </c>
      <c r="H591" s="7">
        <v>0.07</v>
      </c>
      <c r="I591" s="3" t="s">
        <v>65</v>
      </c>
      <c r="J591" s="3" t="s">
        <v>45</v>
      </c>
      <c r="K591" s="3" t="s">
        <v>35</v>
      </c>
      <c r="L591" s="3" t="s">
        <v>46</v>
      </c>
      <c r="M591" s="5">
        <v>823.05</v>
      </c>
      <c r="N591" s="11">
        <f t="shared" si="1"/>
        <v>885</v>
      </c>
    </row>
    <row r="592">
      <c r="A592" s="3" t="s">
        <v>3279</v>
      </c>
      <c r="B592" s="3" t="s">
        <v>3280</v>
      </c>
      <c r="C592" s="4">
        <v>45029.0</v>
      </c>
      <c r="D592" s="10" t="s">
        <v>3281</v>
      </c>
      <c r="E592" s="3" t="s">
        <v>42</v>
      </c>
      <c r="F592" s="5">
        <v>2093.0</v>
      </c>
      <c r="G592" s="6">
        <v>2.0</v>
      </c>
      <c r="H592" s="7">
        <v>0.15</v>
      </c>
      <c r="I592" s="3" t="s">
        <v>34</v>
      </c>
      <c r="J592" s="3" t="s">
        <v>73</v>
      </c>
      <c r="K592" s="3" t="s">
        <v>81</v>
      </c>
      <c r="L592" s="3" t="s">
        <v>46</v>
      </c>
      <c r="M592" s="5">
        <v>3558.1</v>
      </c>
      <c r="N592" s="11">
        <f t="shared" si="1"/>
        <v>4186</v>
      </c>
    </row>
    <row r="593">
      <c r="A593" s="3" t="s">
        <v>3284</v>
      </c>
      <c r="B593" s="3" t="s">
        <v>3285</v>
      </c>
      <c r="C593" s="4">
        <v>45284.0</v>
      </c>
      <c r="D593" s="10" t="s">
        <v>3286</v>
      </c>
      <c r="E593" s="3" t="s">
        <v>200</v>
      </c>
      <c r="F593" s="5">
        <v>4361.0</v>
      </c>
      <c r="G593" s="6">
        <v>1.0</v>
      </c>
      <c r="H593" s="7">
        <v>0.09</v>
      </c>
      <c r="I593" s="3" t="s">
        <v>55</v>
      </c>
      <c r="J593" s="3" t="s">
        <v>56</v>
      </c>
      <c r="K593" s="3" t="s">
        <v>88</v>
      </c>
      <c r="L593" s="3" t="s">
        <v>36</v>
      </c>
      <c r="M593" s="5">
        <v>3968.51</v>
      </c>
      <c r="N593" s="11">
        <f t="shared" si="1"/>
        <v>4361</v>
      </c>
    </row>
    <row r="594">
      <c r="A594" s="3" t="s">
        <v>3289</v>
      </c>
      <c r="B594" s="3" t="s">
        <v>3290</v>
      </c>
      <c r="C594" s="4">
        <v>45124.0</v>
      </c>
      <c r="D594" s="10" t="s">
        <v>3291</v>
      </c>
      <c r="E594" s="3" t="s">
        <v>30</v>
      </c>
      <c r="F594" s="5">
        <v>2233.0</v>
      </c>
      <c r="G594" s="6">
        <v>2.0</v>
      </c>
      <c r="H594" s="7">
        <v>0.15</v>
      </c>
      <c r="I594" s="3" t="s">
        <v>21</v>
      </c>
      <c r="J594" s="3" t="s">
        <v>22</v>
      </c>
      <c r="K594" s="3" t="s">
        <v>81</v>
      </c>
      <c r="L594" s="3" t="s">
        <v>36</v>
      </c>
      <c r="M594" s="5">
        <v>3796.1</v>
      </c>
      <c r="N594" s="11">
        <f t="shared" si="1"/>
        <v>4466</v>
      </c>
    </row>
    <row r="595">
      <c r="A595" s="3" t="s">
        <v>3294</v>
      </c>
      <c r="B595" s="3" t="s">
        <v>3295</v>
      </c>
      <c r="C595" s="4">
        <v>45036.0</v>
      </c>
      <c r="D595" s="10" t="s">
        <v>3296</v>
      </c>
      <c r="E595" s="3" t="s">
        <v>42</v>
      </c>
      <c r="F595" s="5">
        <v>681.0</v>
      </c>
      <c r="G595" s="6">
        <v>1.0</v>
      </c>
      <c r="H595" s="7">
        <v>0.09</v>
      </c>
      <c r="I595" s="3" t="s">
        <v>34</v>
      </c>
      <c r="J595" s="3" t="s">
        <v>73</v>
      </c>
      <c r="K595" s="3" t="s">
        <v>81</v>
      </c>
      <c r="L595" s="3" t="s">
        <v>46</v>
      </c>
      <c r="M595" s="5">
        <v>619.71</v>
      </c>
      <c r="N595" s="11">
        <f t="shared" si="1"/>
        <v>681</v>
      </c>
    </row>
    <row r="596">
      <c r="A596" s="3" t="s">
        <v>3299</v>
      </c>
      <c r="B596" s="3" t="s">
        <v>3300</v>
      </c>
      <c r="C596" s="4">
        <v>45256.0</v>
      </c>
      <c r="D596" s="10" t="s">
        <v>3301</v>
      </c>
      <c r="E596" s="3" t="s">
        <v>30</v>
      </c>
      <c r="F596" s="5">
        <v>9567.0</v>
      </c>
      <c r="G596" s="6">
        <v>3.0</v>
      </c>
      <c r="H596" s="7">
        <v>0.12</v>
      </c>
      <c r="I596" s="3" t="s">
        <v>21</v>
      </c>
      <c r="J596" s="3" t="s">
        <v>45</v>
      </c>
      <c r="K596" s="3" t="s">
        <v>81</v>
      </c>
      <c r="L596" s="3" t="s">
        <v>24</v>
      </c>
      <c r="M596" s="5">
        <v>25256.88</v>
      </c>
      <c r="N596" s="11">
        <f t="shared" si="1"/>
        <v>28701</v>
      </c>
    </row>
    <row r="597">
      <c r="A597" s="3" t="s">
        <v>3304</v>
      </c>
      <c r="B597" s="3" t="s">
        <v>3305</v>
      </c>
      <c r="C597" s="4">
        <v>45027.0</v>
      </c>
      <c r="D597" s="10" t="s">
        <v>3306</v>
      </c>
      <c r="E597" s="3" t="s">
        <v>30</v>
      </c>
      <c r="F597" s="5">
        <v>6300.0</v>
      </c>
      <c r="G597" s="6">
        <v>4.0</v>
      </c>
      <c r="H597" s="7">
        <v>0.16</v>
      </c>
      <c r="I597" s="3" t="s">
        <v>55</v>
      </c>
      <c r="J597" s="3" t="s">
        <v>22</v>
      </c>
      <c r="K597" s="3" t="s">
        <v>23</v>
      </c>
      <c r="L597" s="3" t="s">
        <v>46</v>
      </c>
      <c r="M597" s="5">
        <v>21168.0</v>
      </c>
      <c r="N597" s="11">
        <f t="shared" si="1"/>
        <v>25200</v>
      </c>
    </row>
    <row r="598">
      <c r="A598" s="3" t="s">
        <v>3309</v>
      </c>
      <c r="B598" s="3" t="s">
        <v>3310</v>
      </c>
      <c r="C598" s="4">
        <v>45109.0</v>
      </c>
      <c r="D598" s="10" t="s">
        <v>3311</v>
      </c>
      <c r="E598" s="3" t="s">
        <v>52</v>
      </c>
      <c r="F598" s="5">
        <v>4299.0</v>
      </c>
      <c r="G598" s="6">
        <v>1.0</v>
      </c>
      <c r="H598" s="7">
        <v>0.17</v>
      </c>
      <c r="I598" s="3" t="s">
        <v>55</v>
      </c>
      <c r="J598" s="3" t="s">
        <v>56</v>
      </c>
      <c r="K598" s="3" t="s">
        <v>121</v>
      </c>
      <c r="L598" s="3" t="s">
        <v>24</v>
      </c>
      <c r="M598" s="5">
        <v>3568.17</v>
      </c>
      <c r="N598" s="11">
        <f t="shared" si="1"/>
        <v>4299</v>
      </c>
    </row>
    <row r="599">
      <c r="A599" s="3" t="s">
        <v>3314</v>
      </c>
      <c r="B599" s="3" t="s">
        <v>3315</v>
      </c>
      <c r="C599" s="4">
        <v>45260.0</v>
      </c>
      <c r="D599" s="10" t="s">
        <v>3316</v>
      </c>
      <c r="E599" s="3" t="s">
        <v>30</v>
      </c>
      <c r="F599" s="5">
        <v>2118.0</v>
      </c>
      <c r="G599" s="6">
        <v>2.0</v>
      </c>
      <c r="H599" s="7">
        <v>0.12</v>
      </c>
      <c r="I599" s="3" t="s">
        <v>21</v>
      </c>
      <c r="J599" s="3" t="s">
        <v>45</v>
      </c>
      <c r="K599" s="3" t="s">
        <v>23</v>
      </c>
      <c r="L599" s="3" t="s">
        <v>46</v>
      </c>
      <c r="M599" s="5">
        <v>3727.68</v>
      </c>
      <c r="N599" s="11">
        <f t="shared" si="1"/>
        <v>4236</v>
      </c>
    </row>
    <row r="600">
      <c r="A600" s="3" t="s">
        <v>3319</v>
      </c>
      <c r="B600" s="3" t="s">
        <v>3320</v>
      </c>
      <c r="C600" s="4">
        <v>45086.0</v>
      </c>
      <c r="D600" s="10" t="s">
        <v>3322</v>
      </c>
      <c r="E600" s="3" t="s">
        <v>52</v>
      </c>
      <c r="F600" s="5">
        <v>8030.0</v>
      </c>
      <c r="G600" s="6">
        <v>4.0</v>
      </c>
      <c r="H600" s="7">
        <v>0.09</v>
      </c>
      <c r="I600" s="3" t="s">
        <v>55</v>
      </c>
      <c r="J600" s="3" t="s">
        <v>22</v>
      </c>
      <c r="K600" s="3" t="s">
        <v>35</v>
      </c>
      <c r="L600" s="3" t="s">
        <v>24</v>
      </c>
      <c r="M600" s="5">
        <v>29229.2</v>
      </c>
      <c r="N600" s="11">
        <f t="shared" si="1"/>
        <v>32120</v>
      </c>
    </row>
    <row r="601">
      <c r="A601" s="3" t="s">
        <v>3325</v>
      </c>
      <c r="B601" s="3" t="s">
        <v>3326</v>
      </c>
      <c r="C601" s="4">
        <v>45008.0</v>
      </c>
      <c r="D601" s="10" t="s">
        <v>3327</v>
      </c>
      <c r="E601" s="3" t="s">
        <v>17</v>
      </c>
      <c r="F601" s="5">
        <v>7234.0</v>
      </c>
      <c r="G601" s="6">
        <v>2.0</v>
      </c>
      <c r="H601" s="7">
        <v>0.08</v>
      </c>
      <c r="I601" s="3" t="s">
        <v>21</v>
      </c>
      <c r="J601" s="3" t="s">
        <v>73</v>
      </c>
      <c r="K601" s="3" t="s">
        <v>121</v>
      </c>
      <c r="L601" s="3" t="s">
        <v>24</v>
      </c>
      <c r="M601" s="5">
        <v>13310.56</v>
      </c>
      <c r="N601" s="11">
        <f t="shared" si="1"/>
        <v>14468</v>
      </c>
    </row>
    <row r="602">
      <c r="N602" s="11"/>
    </row>
    <row r="603">
      <c r="N603" s="11"/>
    </row>
    <row r="604">
      <c r="N604" s="11"/>
    </row>
    <row r="605">
      <c r="N605" s="11"/>
    </row>
    <row r="606">
      <c r="N606" s="11"/>
    </row>
    <row r="607">
      <c r="N607" s="11"/>
    </row>
    <row r="608">
      <c r="N608" s="11"/>
    </row>
    <row r="609">
      <c r="N609" s="11"/>
    </row>
    <row r="610">
      <c r="N610" s="11"/>
    </row>
    <row r="611">
      <c r="N611" s="11"/>
    </row>
    <row r="612">
      <c r="N612" s="11"/>
    </row>
    <row r="613">
      <c r="N613" s="11"/>
    </row>
    <row r="614">
      <c r="N614" s="11"/>
    </row>
    <row r="615">
      <c r="N615" s="11"/>
    </row>
    <row r="616">
      <c r="N616" s="11"/>
    </row>
    <row r="617">
      <c r="N617" s="11"/>
    </row>
    <row r="618">
      <c r="N618" s="11"/>
    </row>
    <row r="619">
      <c r="N619" s="11"/>
    </row>
    <row r="620">
      <c r="N620" s="11"/>
    </row>
    <row r="621">
      <c r="N621" s="11"/>
    </row>
    <row r="622">
      <c r="N622" s="11"/>
    </row>
    <row r="623">
      <c r="N623" s="11"/>
    </row>
    <row r="624">
      <c r="N624" s="11"/>
    </row>
    <row r="625">
      <c r="N625" s="11"/>
    </row>
    <row r="626">
      <c r="N626" s="11"/>
    </row>
    <row r="627">
      <c r="N627" s="11"/>
    </row>
    <row r="628">
      <c r="N628" s="11"/>
    </row>
    <row r="629">
      <c r="N629" s="11"/>
    </row>
    <row r="630">
      <c r="N630" s="11"/>
    </row>
    <row r="631">
      <c r="N631" s="11"/>
    </row>
    <row r="632">
      <c r="N632" s="11"/>
    </row>
    <row r="633">
      <c r="N633" s="11"/>
    </row>
    <row r="634">
      <c r="N634" s="11"/>
    </row>
    <row r="635">
      <c r="N635" s="11"/>
    </row>
    <row r="636">
      <c r="N636" s="11"/>
    </row>
    <row r="637">
      <c r="N637" s="11"/>
    </row>
    <row r="638">
      <c r="N638" s="11"/>
    </row>
    <row r="639">
      <c r="N639" s="11"/>
    </row>
    <row r="640">
      <c r="N640" s="11"/>
    </row>
    <row r="641">
      <c r="N641" s="11"/>
    </row>
    <row r="642">
      <c r="N642" s="11"/>
    </row>
    <row r="643">
      <c r="N643" s="11"/>
    </row>
    <row r="644">
      <c r="N644" s="11"/>
    </row>
    <row r="645">
      <c r="N645" s="11"/>
    </row>
    <row r="646">
      <c r="N646" s="11"/>
    </row>
    <row r="647">
      <c r="N647" s="11"/>
    </row>
    <row r="648">
      <c r="N648" s="11"/>
    </row>
    <row r="649">
      <c r="N649" s="11"/>
    </row>
    <row r="650">
      <c r="N650" s="11"/>
    </row>
    <row r="651">
      <c r="N651" s="11"/>
    </row>
    <row r="652">
      <c r="N652" s="11"/>
    </row>
    <row r="653">
      <c r="N653" s="11"/>
    </row>
    <row r="654">
      <c r="N654" s="11"/>
    </row>
    <row r="655">
      <c r="N655" s="11"/>
    </row>
    <row r="656">
      <c r="N656" s="11"/>
    </row>
    <row r="657">
      <c r="N657" s="11"/>
    </row>
    <row r="658">
      <c r="N658" s="11"/>
    </row>
    <row r="659">
      <c r="N659" s="11"/>
    </row>
    <row r="660">
      <c r="N660" s="11"/>
    </row>
    <row r="661">
      <c r="N661" s="11"/>
    </row>
    <row r="662">
      <c r="N662" s="11"/>
    </row>
    <row r="663">
      <c r="N663" s="11"/>
    </row>
    <row r="664">
      <c r="N664" s="11"/>
    </row>
    <row r="665">
      <c r="N665" s="11"/>
    </row>
    <row r="666">
      <c r="N666" s="11"/>
    </row>
    <row r="667">
      <c r="N667" s="11"/>
    </row>
    <row r="668">
      <c r="N668" s="11"/>
    </row>
    <row r="669">
      <c r="N669" s="11"/>
    </row>
    <row r="670">
      <c r="N670" s="11"/>
    </row>
    <row r="671">
      <c r="N671" s="11"/>
    </row>
    <row r="672">
      <c r="N672" s="11"/>
    </row>
    <row r="673">
      <c r="N673" s="11"/>
    </row>
    <row r="674">
      <c r="N674" s="11"/>
    </row>
    <row r="675">
      <c r="N675" s="11"/>
    </row>
    <row r="676">
      <c r="N676" s="11"/>
    </row>
    <row r="677">
      <c r="N677" s="11"/>
    </row>
    <row r="678">
      <c r="N678" s="11"/>
    </row>
    <row r="679">
      <c r="N679" s="11"/>
    </row>
    <row r="680">
      <c r="N680" s="11"/>
    </row>
    <row r="681">
      <c r="N681" s="11"/>
    </row>
    <row r="682">
      <c r="N682" s="11"/>
    </row>
    <row r="683">
      <c r="N683" s="11"/>
    </row>
    <row r="684">
      <c r="N684" s="11"/>
    </row>
    <row r="685">
      <c r="N685" s="11"/>
    </row>
    <row r="686">
      <c r="N686" s="11"/>
    </row>
    <row r="687">
      <c r="N687" s="11"/>
    </row>
    <row r="688">
      <c r="N688" s="11"/>
    </row>
    <row r="689">
      <c r="N689" s="11"/>
    </row>
    <row r="690">
      <c r="N690" s="11"/>
    </row>
    <row r="691">
      <c r="N691" s="11"/>
    </row>
    <row r="692">
      <c r="N692" s="11"/>
    </row>
    <row r="693">
      <c r="N693" s="11"/>
    </row>
    <row r="694">
      <c r="N694" s="11"/>
    </row>
    <row r="695">
      <c r="N695" s="11"/>
    </row>
    <row r="696">
      <c r="N696" s="11"/>
    </row>
    <row r="697">
      <c r="N697" s="11"/>
    </row>
    <row r="698">
      <c r="N698" s="11"/>
    </row>
    <row r="699">
      <c r="N699" s="11"/>
    </row>
    <row r="700">
      <c r="N700" s="11"/>
    </row>
    <row r="701">
      <c r="N701" s="11"/>
    </row>
    <row r="702">
      <c r="N702" s="11"/>
    </row>
    <row r="703">
      <c r="N703" s="11"/>
    </row>
    <row r="704">
      <c r="N704" s="11"/>
    </row>
    <row r="705">
      <c r="N705" s="11"/>
    </row>
    <row r="706">
      <c r="N706" s="11"/>
    </row>
    <row r="707">
      <c r="N707" s="11"/>
    </row>
    <row r="708">
      <c r="N708" s="11"/>
    </row>
    <row r="709">
      <c r="N709" s="11"/>
    </row>
    <row r="710">
      <c r="N710" s="11"/>
    </row>
    <row r="711">
      <c r="N711" s="11"/>
    </row>
    <row r="712">
      <c r="N712" s="11"/>
    </row>
    <row r="713">
      <c r="N713" s="11"/>
    </row>
    <row r="714">
      <c r="N714" s="11"/>
    </row>
    <row r="715">
      <c r="N715" s="11"/>
    </row>
    <row r="716">
      <c r="N716" s="11"/>
    </row>
    <row r="717">
      <c r="N717" s="11"/>
    </row>
    <row r="718">
      <c r="N718" s="11"/>
    </row>
    <row r="719">
      <c r="N719" s="11"/>
    </row>
    <row r="720">
      <c r="N720" s="11"/>
    </row>
    <row r="721">
      <c r="N721" s="11"/>
    </row>
    <row r="722">
      <c r="N722" s="11"/>
    </row>
    <row r="723">
      <c r="N723" s="11"/>
    </row>
    <row r="724">
      <c r="N724" s="11"/>
    </row>
    <row r="725">
      <c r="N725" s="11"/>
    </row>
    <row r="726">
      <c r="N726" s="11"/>
    </row>
    <row r="727">
      <c r="N727" s="11"/>
    </row>
    <row r="728">
      <c r="N728" s="11"/>
    </row>
    <row r="729">
      <c r="N729" s="11"/>
    </row>
    <row r="730">
      <c r="N730" s="11"/>
    </row>
    <row r="731">
      <c r="N731" s="11"/>
    </row>
    <row r="732">
      <c r="N732" s="11"/>
    </row>
    <row r="733">
      <c r="N733" s="11"/>
    </row>
    <row r="734">
      <c r="N734" s="11"/>
    </row>
    <row r="735">
      <c r="N735" s="11"/>
    </row>
    <row r="736">
      <c r="N736" s="11"/>
    </row>
    <row r="737">
      <c r="N737" s="11"/>
    </row>
    <row r="738">
      <c r="N738" s="11"/>
    </row>
    <row r="739">
      <c r="N739" s="11"/>
    </row>
    <row r="740">
      <c r="N740" s="11"/>
    </row>
    <row r="741">
      <c r="N741" s="11"/>
    </row>
    <row r="742">
      <c r="N742" s="11"/>
    </row>
    <row r="743">
      <c r="N743" s="11"/>
    </row>
    <row r="744">
      <c r="N744" s="11"/>
    </row>
    <row r="745">
      <c r="N745" s="11"/>
    </row>
    <row r="746">
      <c r="N746" s="11"/>
    </row>
    <row r="747">
      <c r="N747" s="11"/>
    </row>
    <row r="748">
      <c r="N748" s="11"/>
    </row>
    <row r="749">
      <c r="N749" s="11"/>
    </row>
    <row r="750">
      <c r="N750" s="11"/>
    </row>
    <row r="751">
      <c r="N751" s="11"/>
    </row>
    <row r="752">
      <c r="N752" s="11"/>
    </row>
    <row r="753">
      <c r="N753" s="11"/>
    </row>
    <row r="754">
      <c r="N754" s="11"/>
    </row>
    <row r="755">
      <c r="N755" s="11"/>
    </row>
    <row r="756">
      <c r="N756" s="11"/>
    </row>
    <row r="757">
      <c r="N757" s="11"/>
    </row>
    <row r="758">
      <c r="N758" s="11"/>
    </row>
    <row r="759">
      <c r="N759" s="11"/>
    </row>
    <row r="760">
      <c r="N760" s="11"/>
    </row>
    <row r="761">
      <c r="N761" s="11"/>
    </row>
    <row r="762">
      <c r="N762" s="11"/>
    </row>
    <row r="763">
      <c r="N763" s="11"/>
    </row>
    <row r="764">
      <c r="N764" s="11"/>
    </row>
    <row r="765">
      <c r="N765" s="11"/>
    </row>
    <row r="766">
      <c r="N766" s="11"/>
    </row>
    <row r="767">
      <c r="N767" s="11"/>
    </row>
    <row r="768">
      <c r="N768" s="11"/>
    </row>
    <row r="769">
      <c r="N769" s="11"/>
    </row>
    <row r="770">
      <c r="N770" s="11"/>
    </row>
    <row r="771">
      <c r="N771" s="11"/>
    </row>
    <row r="772">
      <c r="N772" s="11"/>
    </row>
    <row r="773">
      <c r="N773" s="11"/>
    </row>
    <row r="774">
      <c r="N774" s="11"/>
    </row>
    <row r="775">
      <c r="N775" s="11"/>
    </row>
    <row r="776">
      <c r="N776" s="11"/>
    </row>
    <row r="777">
      <c r="N777" s="11"/>
    </row>
    <row r="778">
      <c r="N778" s="11"/>
    </row>
    <row r="779">
      <c r="N779" s="11"/>
    </row>
    <row r="780">
      <c r="N780" s="11"/>
    </row>
    <row r="781">
      <c r="N781" s="11"/>
    </row>
    <row r="782">
      <c r="N782" s="11"/>
    </row>
    <row r="783">
      <c r="N783" s="11"/>
    </row>
    <row r="784">
      <c r="N784" s="11"/>
    </row>
    <row r="785">
      <c r="N785" s="11"/>
    </row>
    <row r="786">
      <c r="N786" s="11"/>
    </row>
    <row r="787">
      <c r="N787" s="11"/>
    </row>
    <row r="788">
      <c r="N788" s="11"/>
    </row>
    <row r="789">
      <c r="N789" s="11"/>
    </row>
    <row r="790">
      <c r="N790" s="11"/>
    </row>
    <row r="791">
      <c r="N791" s="11"/>
    </row>
    <row r="792">
      <c r="N792" s="11"/>
    </row>
    <row r="793">
      <c r="N793" s="11"/>
    </row>
    <row r="794">
      <c r="N794" s="11"/>
    </row>
    <row r="795">
      <c r="N795" s="11"/>
    </row>
    <row r="796">
      <c r="N796" s="11"/>
    </row>
    <row r="797">
      <c r="N797" s="11"/>
    </row>
    <row r="798">
      <c r="N798" s="11"/>
    </row>
    <row r="799">
      <c r="N799" s="11"/>
    </row>
    <row r="800">
      <c r="N800" s="11"/>
    </row>
    <row r="801">
      <c r="N801" s="11"/>
    </row>
    <row r="802">
      <c r="N802" s="11"/>
    </row>
    <row r="803">
      <c r="N803" s="11"/>
    </row>
    <row r="804">
      <c r="N804" s="11"/>
    </row>
    <row r="805">
      <c r="N805" s="11"/>
    </row>
    <row r="806">
      <c r="N806" s="11"/>
    </row>
    <row r="807">
      <c r="N807" s="11"/>
    </row>
    <row r="808">
      <c r="N808" s="11"/>
    </row>
    <row r="809">
      <c r="N809" s="11"/>
    </row>
    <row r="810">
      <c r="N810" s="11"/>
    </row>
    <row r="811">
      <c r="N811" s="11"/>
    </row>
    <row r="812">
      <c r="N812" s="11"/>
    </row>
    <row r="813">
      <c r="N813" s="11"/>
    </row>
    <row r="814">
      <c r="N814" s="11"/>
    </row>
    <row r="815">
      <c r="N815" s="11"/>
    </row>
    <row r="816">
      <c r="N816" s="11"/>
    </row>
    <row r="817">
      <c r="N817" s="11"/>
    </row>
    <row r="818">
      <c r="N818" s="11"/>
    </row>
    <row r="819">
      <c r="N819" s="11"/>
    </row>
    <row r="820">
      <c r="N820" s="11"/>
    </row>
    <row r="821">
      <c r="N821" s="11"/>
    </row>
    <row r="822">
      <c r="N822" s="11"/>
    </row>
    <row r="823">
      <c r="N823" s="11"/>
    </row>
    <row r="824">
      <c r="N824" s="11"/>
    </row>
    <row r="825">
      <c r="N825" s="11"/>
    </row>
    <row r="826">
      <c r="N826" s="11"/>
    </row>
    <row r="827">
      <c r="N827" s="11"/>
    </row>
    <row r="828">
      <c r="N828" s="11"/>
    </row>
    <row r="829">
      <c r="N829" s="11"/>
    </row>
    <row r="830">
      <c r="N830" s="11"/>
    </row>
    <row r="831">
      <c r="N831" s="11"/>
    </row>
    <row r="832">
      <c r="N832" s="11"/>
    </row>
    <row r="833">
      <c r="N833" s="11"/>
    </row>
    <row r="834">
      <c r="N834" s="11"/>
    </row>
    <row r="835">
      <c r="N835" s="11"/>
    </row>
    <row r="836">
      <c r="N836" s="11"/>
    </row>
    <row r="837">
      <c r="N837" s="11"/>
    </row>
    <row r="838">
      <c r="N838" s="11"/>
    </row>
    <row r="839">
      <c r="N839" s="11"/>
    </row>
    <row r="840">
      <c r="N840" s="11"/>
    </row>
    <row r="841">
      <c r="N841" s="11"/>
    </row>
    <row r="842">
      <c r="N842" s="11"/>
    </row>
    <row r="843">
      <c r="N843" s="11"/>
    </row>
    <row r="844">
      <c r="N844" s="11"/>
    </row>
    <row r="845">
      <c r="N845" s="11"/>
    </row>
    <row r="846">
      <c r="N846" s="11"/>
    </row>
    <row r="847">
      <c r="N847" s="11"/>
    </row>
    <row r="848">
      <c r="N848" s="11"/>
    </row>
    <row r="849">
      <c r="N849" s="11"/>
    </row>
    <row r="850">
      <c r="N850" s="11"/>
    </row>
    <row r="851">
      <c r="N851" s="11"/>
    </row>
    <row r="852">
      <c r="N852" s="11"/>
    </row>
    <row r="853">
      <c r="N853" s="11"/>
    </row>
    <row r="854">
      <c r="N854" s="11"/>
    </row>
    <row r="855">
      <c r="N855" s="11"/>
    </row>
    <row r="856">
      <c r="N856" s="11"/>
    </row>
    <row r="857">
      <c r="N857" s="11"/>
    </row>
    <row r="858">
      <c r="N858" s="11"/>
    </row>
    <row r="859">
      <c r="N859" s="11"/>
    </row>
    <row r="860">
      <c r="N860" s="11"/>
    </row>
    <row r="861">
      <c r="N861" s="11"/>
    </row>
    <row r="862">
      <c r="N862" s="11"/>
    </row>
    <row r="863">
      <c r="N863" s="11"/>
    </row>
    <row r="864">
      <c r="N864" s="11"/>
    </row>
    <row r="865">
      <c r="N865" s="11"/>
    </row>
    <row r="866">
      <c r="N866" s="11"/>
    </row>
    <row r="867">
      <c r="N867" s="11"/>
    </row>
    <row r="868">
      <c r="N868" s="11"/>
    </row>
    <row r="869">
      <c r="N869" s="11"/>
    </row>
    <row r="870">
      <c r="N870" s="11"/>
    </row>
    <row r="871">
      <c r="N871" s="11"/>
    </row>
    <row r="872">
      <c r="N872" s="11"/>
    </row>
    <row r="873">
      <c r="N873" s="11"/>
    </row>
    <row r="874">
      <c r="N874" s="11"/>
    </row>
    <row r="875">
      <c r="N875" s="11"/>
    </row>
    <row r="876">
      <c r="N876" s="11"/>
    </row>
    <row r="877">
      <c r="N877" s="11"/>
    </row>
    <row r="878">
      <c r="N878" s="11"/>
    </row>
    <row r="879">
      <c r="N879" s="11"/>
    </row>
    <row r="880">
      <c r="N880" s="11"/>
    </row>
    <row r="881">
      <c r="N881" s="11"/>
    </row>
    <row r="882">
      <c r="N882" s="11"/>
    </row>
    <row r="883">
      <c r="N883" s="11"/>
    </row>
    <row r="884">
      <c r="N884" s="11"/>
    </row>
    <row r="885">
      <c r="N885" s="11"/>
    </row>
    <row r="886">
      <c r="N886" s="11"/>
    </row>
    <row r="887">
      <c r="N887" s="11"/>
    </row>
    <row r="888">
      <c r="N888" s="11"/>
    </row>
    <row r="889">
      <c r="N889" s="11"/>
    </row>
    <row r="890">
      <c r="N890" s="11"/>
    </row>
    <row r="891">
      <c r="N891" s="11"/>
    </row>
    <row r="892">
      <c r="N892" s="11"/>
    </row>
    <row r="893">
      <c r="N893" s="11"/>
    </row>
    <row r="894">
      <c r="N894" s="11"/>
    </row>
    <row r="895">
      <c r="N895" s="11"/>
    </row>
    <row r="896">
      <c r="N896" s="11"/>
    </row>
    <row r="897">
      <c r="N897" s="11"/>
    </row>
    <row r="898">
      <c r="N898" s="11"/>
    </row>
    <row r="899">
      <c r="N899" s="11"/>
    </row>
    <row r="900">
      <c r="N900" s="11"/>
    </row>
    <row r="901">
      <c r="N901" s="11"/>
    </row>
    <row r="902">
      <c r="N902" s="11"/>
    </row>
    <row r="903">
      <c r="N903" s="11"/>
    </row>
    <row r="904">
      <c r="N904" s="11"/>
    </row>
    <row r="905">
      <c r="N905" s="11"/>
    </row>
    <row r="906">
      <c r="N906" s="11"/>
    </row>
    <row r="907">
      <c r="N907" s="11"/>
    </row>
    <row r="908">
      <c r="N908" s="11"/>
    </row>
    <row r="909">
      <c r="N909" s="11"/>
    </row>
    <row r="910">
      <c r="N910" s="11"/>
    </row>
    <row r="911">
      <c r="N911" s="11"/>
    </row>
    <row r="912">
      <c r="N912" s="11"/>
    </row>
    <row r="913">
      <c r="N913" s="11"/>
    </row>
    <row r="914">
      <c r="N914" s="11"/>
    </row>
    <row r="915">
      <c r="N915" s="11"/>
    </row>
    <row r="916">
      <c r="N916" s="11"/>
    </row>
    <row r="917">
      <c r="N917" s="11"/>
    </row>
    <row r="918">
      <c r="N918" s="11"/>
    </row>
    <row r="919">
      <c r="N919" s="11"/>
    </row>
    <row r="920">
      <c r="N920" s="11"/>
    </row>
    <row r="921">
      <c r="N921" s="11"/>
    </row>
    <row r="922">
      <c r="N922" s="11"/>
    </row>
    <row r="923">
      <c r="N923" s="11"/>
    </row>
    <row r="924">
      <c r="N924" s="11"/>
    </row>
    <row r="925">
      <c r="N925" s="11"/>
    </row>
    <row r="926">
      <c r="N926" s="11"/>
    </row>
    <row r="927">
      <c r="N927" s="11"/>
    </row>
    <row r="928">
      <c r="N928" s="11"/>
    </row>
    <row r="929">
      <c r="N929" s="11"/>
    </row>
    <row r="930">
      <c r="N930" s="11"/>
    </row>
    <row r="931">
      <c r="N931" s="11"/>
    </row>
    <row r="932">
      <c r="N932" s="11"/>
    </row>
    <row r="933">
      <c r="N933" s="11"/>
    </row>
    <row r="934">
      <c r="N934" s="11"/>
    </row>
    <row r="935">
      <c r="N935" s="11"/>
    </row>
    <row r="936">
      <c r="N936" s="11"/>
    </row>
    <row r="937">
      <c r="N937" s="11"/>
    </row>
    <row r="938">
      <c r="N938" s="11"/>
    </row>
    <row r="939">
      <c r="N939" s="11"/>
    </row>
    <row r="940">
      <c r="N940" s="11"/>
    </row>
    <row r="941">
      <c r="N941" s="11"/>
    </row>
    <row r="942">
      <c r="N942" s="11"/>
    </row>
    <row r="943">
      <c r="N943" s="11"/>
    </row>
    <row r="944">
      <c r="N944" s="11"/>
    </row>
    <row r="945">
      <c r="N945" s="11"/>
    </row>
    <row r="946">
      <c r="N946" s="11"/>
    </row>
    <row r="947">
      <c r="N947" s="11"/>
    </row>
    <row r="948">
      <c r="N948" s="11"/>
    </row>
    <row r="949">
      <c r="N949" s="11"/>
    </row>
    <row r="950">
      <c r="N950" s="11"/>
    </row>
    <row r="951">
      <c r="N951" s="11"/>
    </row>
    <row r="952">
      <c r="N952" s="11"/>
    </row>
    <row r="953">
      <c r="N953" s="11"/>
    </row>
    <row r="954">
      <c r="N954" s="11"/>
    </row>
    <row r="955">
      <c r="N955" s="11"/>
    </row>
    <row r="956">
      <c r="N956" s="11"/>
    </row>
    <row r="957">
      <c r="N957" s="11"/>
    </row>
    <row r="958">
      <c r="N958" s="11"/>
    </row>
    <row r="959">
      <c r="N959" s="11"/>
    </row>
    <row r="960">
      <c r="N960" s="11"/>
    </row>
    <row r="961">
      <c r="N961" s="11"/>
    </row>
    <row r="962">
      <c r="N962" s="11"/>
    </row>
    <row r="963">
      <c r="N963" s="11"/>
    </row>
    <row r="964">
      <c r="N964" s="11"/>
    </row>
    <row r="965">
      <c r="N965" s="11"/>
    </row>
    <row r="966">
      <c r="N966" s="11"/>
    </row>
    <row r="967">
      <c r="N967" s="11"/>
    </row>
    <row r="968">
      <c r="N968" s="11"/>
    </row>
    <row r="969">
      <c r="N969" s="11"/>
    </row>
    <row r="970">
      <c r="N970" s="11"/>
    </row>
    <row r="971">
      <c r="N971" s="11"/>
    </row>
    <row r="972">
      <c r="N972" s="11"/>
    </row>
    <row r="973">
      <c r="N973" s="11"/>
    </row>
    <row r="974">
      <c r="N974" s="11"/>
    </row>
    <row r="975">
      <c r="N975" s="11"/>
    </row>
    <row r="976">
      <c r="N976" s="11"/>
    </row>
    <row r="977">
      <c r="N977" s="11"/>
    </row>
    <row r="978">
      <c r="N978" s="11"/>
    </row>
    <row r="979">
      <c r="N979" s="11"/>
    </row>
    <row r="980">
      <c r="N980" s="11"/>
    </row>
    <row r="981">
      <c r="N981" s="11"/>
    </row>
    <row r="982">
      <c r="N982" s="11"/>
    </row>
    <row r="983">
      <c r="N983" s="11"/>
    </row>
    <row r="984">
      <c r="N984" s="11"/>
    </row>
    <row r="985">
      <c r="N985" s="11"/>
    </row>
    <row r="986">
      <c r="N986" s="11"/>
    </row>
    <row r="987">
      <c r="N987" s="11"/>
    </row>
    <row r="988">
      <c r="N988" s="11"/>
    </row>
    <row r="989">
      <c r="N989" s="11"/>
    </row>
    <row r="990">
      <c r="N990" s="11"/>
    </row>
    <row r="991">
      <c r="N991" s="11"/>
    </row>
    <row r="992">
      <c r="N992" s="11"/>
    </row>
    <row r="993">
      <c r="N993" s="11"/>
    </row>
    <row r="994">
      <c r="N994" s="11"/>
    </row>
    <row r="995">
      <c r="N995" s="11"/>
    </row>
    <row r="996">
      <c r="N996" s="11"/>
    </row>
    <row r="997">
      <c r="N997" s="11"/>
    </row>
    <row r="998">
      <c r="N998" s="11"/>
    </row>
    <row r="999">
      <c r="N999" s="11"/>
    </row>
    <row r="1000">
      <c r="N1000" s="11"/>
    </row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10.13"/>
    <col customWidth="1" min="6" max="6" width="24.5"/>
  </cols>
  <sheetData>
    <row r="1">
      <c r="A1" s="17" t="s">
        <v>3345</v>
      </c>
      <c r="B1" s="18"/>
      <c r="C1" s="18"/>
      <c r="D1" s="18"/>
      <c r="E1" s="19" t="s">
        <v>3346</v>
      </c>
      <c r="F1" s="20"/>
    </row>
    <row r="2"/>
    <row r="3"/>
    <row r="4"/>
    <row r="5"/>
    <row r="6"/>
    <row r="7"/>
    <row r="8"/>
    <row r="9"/>
    <row r="10"/>
    <row r="11"/>
    <row r="12"/>
    <row r="13"/>
    <row r="14"/>
    <row r="15"/>
    <row r="16">
      <c r="F16" s="26" t="s">
        <v>3364</v>
      </c>
      <c r="G16" s="26" t="s">
        <v>3365</v>
      </c>
    </row>
    <row r="17">
      <c r="A17" s="16"/>
      <c r="F17" s="27" t="str">
        <f t="array" ref="F17:G28">TRANSPOSE('Data-cleaning'!O1:Z2)</f>
        <v>кількість унікальних заказів</v>
      </c>
      <c r="G17" s="28">
        <v>600.0</v>
      </c>
    </row>
    <row r="18">
      <c r="A18" s="16"/>
      <c r="F18" s="27" t="s">
        <v>3332</v>
      </c>
      <c r="G18" s="23">
        <v>600.0</v>
      </c>
    </row>
    <row r="19">
      <c r="A19" s="16" t="s">
        <v>3366</v>
      </c>
      <c r="F19" s="27" t="s">
        <v>3333</v>
      </c>
      <c r="G19" s="24">
        <v>1499.0</v>
      </c>
    </row>
    <row r="20">
      <c r="A20" s="16" t="s">
        <v>3367</v>
      </c>
      <c r="F20" s="27" t="s">
        <v>3334</v>
      </c>
      <c r="G20" s="25">
        <v>6604337.539999994</v>
      </c>
    </row>
    <row r="21">
      <c r="A21" s="16" t="s">
        <v>3368</v>
      </c>
      <c r="F21" s="27" t="s">
        <v>3335</v>
      </c>
      <c r="G21" s="25">
        <v>11007.229233333324</v>
      </c>
    </row>
    <row r="22">
      <c r="A22" s="16" t="s">
        <v>3369</v>
      </c>
      <c r="F22" s="27" t="s">
        <v>3336</v>
      </c>
      <c r="G22" s="29">
        <v>7502409.0</v>
      </c>
    </row>
    <row r="23">
      <c r="F23" s="27" t="s">
        <v>3337</v>
      </c>
      <c r="G23" s="29">
        <v>12504.015</v>
      </c>
    </row>
    <row r="24">
      <c r="F24" s="27" t="s">
        <v>3338</v>
      </c>
      <c r="G24" s="30">
        <v>0.12133333333333347</v>
      </c>
    </row>
    <row r="25">
      <c r="F25" s="27" t="s">
        <v>3339</v>
      </c>
      <c r="G25" s="25">
        <v>8113.365</v>
      </c>
    </row>
    <row r="26">
      <c r="A26" s="31"/>
      <c r="F26" s="27" t="s">
        <v>3340</v>
      </c>
      <c r="G26" s="24">
        <v>2.4983333333333335</v>
      </c>
    </row>
    <row r="27">
      <c r="A27" s="31"/>
      <c r="F27" s="27" t="s">
        <v>3341</v>
      </c>
      <c r="G27" s="24">
        <v>2.0</v>
      </c>
    </row>
    <row r="28">
      <c r="A28" s="31"/>
      <c r="F28" s="27" t="s">
        <v>3342</v>
      </c>
      <c r="G28" s="23">
        <v>2.0</v>
      </c>
    </row>
    <row r="29">
      <c r="A29" s="31" t="s">
        <v>3370</v>
      </c>
    </row>
    <row r="30"/>
    <row r="31"/>
    <row r="32"/>
    <row r="33"/>
    <row r="34"/>
    <row r="35"/>
    <row r="36"/>
    <row r="37"/>
    <row r="53">
      <c r="A53" s="16" t="s">
        <v>3371</v>
      </c>
    </row>
    <row r="54">
      <c r="A54" s="35" t="s">
        <v>3372</v>
      </c>
    </row>
    <row r="55">
      <c r="A55" s="16" t="s">
        <v>3373</v>
      </c>
    </row>
    <row r="56">
      <c r="A56" s="31"/>
    </row>
    <row r="57">
      <c r="A57" s="31" t="s">
        <v>3374</v>
      </c>
    </row>
    <row r="58">
      <c r="H58" s="38"/>
      <c r="I58" s="38"/>
      <c r="J58" s="38"/>
      <c r="K58" s="38"/>
      <c r="L58" s="38"/>
      <c r="M58" s="38"/>
    </row>
    <row r="59">
      <c r="H59" s="43"/>
      <c r="I59" s="38"/>
      <c r="J59" s="44"/>
      <c r="K59" s="38"/>
      <c r="L59" s="44"/>
      <c r="M59" s="38"/>
    </row>
    <row r="60">
      <c r="H60" s="46"/>
      <c r="I60" s="47"/>
      <c r="J60" s="47"/>
      <c r="K60" s="47"/>
      <c r="L60" s="47"/>
      <c r="M60" s="47"/>
    </row>
    <row r="61">
      <c r="H61" s="46"/>
      <c r="I61" s="38"/>
      <c r="J61" s="49"/>
      <c r="K61" s="38"/>
      <c r="L61" s="49"/>
      <c r="M61" s="38"/>
      <c r="N61" s="50"/>
      <c r="O61" s="50"/>
    </row>
    <row r="62">
      <c r="H62" s="46"/>
      <c r="I62" s="38"/>
      <c r="J62" s="49"/>
      <c r="K62" s="38"/>
      <c r="L62" s="49"/>
      <c r="M62" s="38"/>
      <c r="N62" s="50"/>
      <c r="O62" s="50"/>
    </row>
    <row r="63">
      <c r="H63" s="46"/>
      <c r="I63" s="38"/>
      <c r="J63" s="49"/>
      <c r="K63" s="38"/>
      <c r="L63" s="49"/>
      <c r="M63" s="38"/>
      <c r="N63" s="50"/>
      <c r="O63" s="50"/>
    </row>
    <row r="64">
      <c r="H64" s="54"/>
      <c r="I64" s="38"/>
      <c r="J64" s="49"/>
      <c r="K64" s="38"/>
      <c r="L64" s="49"/>
      <c r="M64" s="38"/>
      <c r="N64" s="50"/>
      <c r="O64" s="50"/>
    </row>
    <row r="65">
      <c r="A65" s="1"/>
    </row>
    <row r="66">
      <c r="A66" s="55" t="s">
        <v>3375</v>
      </c>
      <c r="B66" s="12">
        <f>(1-141/600)*100</f>
        <v>76.5</v>
      </c>
    </row>
    <row r="67">
      <c r="A67" s="1" t="s">
        <v>3376</v>
      </c>
    </row>
    <row r="68">
      <c r="A68" s="16"/>
    </row>
    <row r="69">
      <c r="A69" s="16" t="s">
        <v>3377</v>
      </c>
    </row>
    <row r="70">
      <c r="A70" s="16" t="s">
        <v>3378</v>
      </c>
    </row>
    <row r="71">
      <c r="A71" s="16" t="s">
        <v>3379</v>
      </c>
    </row>
  </sheetData>
  <drawing r:id="rId7"/>
  <legacy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5">
      <c r="G25" s="16" t="s">
        <v>3380</v>
      </c>
    </row>
    <row r="50">
      <c r="H50" s="16" t="s">
        <v>3381</v>
      </c>
    </row>
    <row r="58">
      <c r="A58" s="16" t="s">
        <v>3382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7" width="10.5"/>
    <col customWidth="1" min="8" max="8" width="11.13"/>
    <col customWidth="1" min="9" max="10" width="10.5"/>
    <col customWidth="1" min="11" max="11" width="11.75"/>
    <col customWidth="1" min="12" max="13" width="10.5"/>
  </cols>
  <sheetData>
    <row r="1">
      <c r="C1" s="56"/>
      <c r="D1" s="57"/>
      <c r="E1" s="56" t="s">
        <v>3383</v>
      </c>
      <c r="F1" s="57"/>
      <c r="G1" s="57"/>
      <c r="H1" s="57"/>
    </row>
    <row r="2" ht="66.0" customHeight="1">
      <c r="A2" s="58" t="str">
        <f t="array" ref="A2:M3">TRANSPOSE(EDA!F16:G28)</f>
        <v>Основні метрики </v>
      </c>
      <c r="B2" s="59" t="s">
        <v>3331</v>
      </c>
      <c r="C2" s="59" t="s">
        <v>3332</v>
      </c>
      <c r="D2" s="59" t="s">
        <v>3333</v>
      </c>
      <c r="E2" s="59" t="s">
        <v>3334</v>
      </c>
      <c r="F2" s="59" t="s">
        <v>3335</v>
      </c>
      <c r="G2" s="59" t="s">
        <v>3336</v>
      </c>
      <c r="H2" s="59" t="s">
        <v>3337</v>
      </c>
      <c r="I2" s="59" t="s">
        <v>3338</v>
      </c>
      <c r="J2" s="59" t="s">
        <v>3339</v>
      </c>
      <c r="K2" s="59" t="s">
        <v>3340</v>
      </c>
      <c r="L2" s="59" t="s">
        <v>3341</v>
      </c>
      <c r="M2" s="59" t="s">
        <v>3342</v>
      </c>
    </row>
    <row r="3">
      <c r="A3" s="60" t="s">
        <v>3365</v>
      </c>
      <c r="B3" s="51">
        <v>600.0</v>
      </c>
      <c r="C3" s="51">
        <v>600.0</v>
      </c>
      <c r="D3" s="61">
        <v>1499.0</v>
      </c>
      <c r="E3" s="62">
        <v>6604337.539999994</v>
      </c>
      <c r="F3" s="62">
        <v>11007.229233333324</v>
      </c>
      <c r="G3" s="63">
        <v>7502409.0</v>
      </c>
      <c r="H3" s="63">
        <v>12504.015</v>
      </c>
      <c r="I3" s="64">
        <v>0.12133333333333347</v>
      </c>
      <c r="J3" s="62">
        <v>8113.365</v>
      </c>
      <c r="K3" s="61">
        <v>2.4983333333333335</v>
      </c>
      <c r="L3" s="61">
        <v>2.0</v>
      </c>
      <c r="M3" s="51">
        <v>2.0</v>
      </c>
    </row>
    <row r="4">
      <c r="A4" s="65"/>
    </row>
    <row r="5">
      <c r="A5" s="66" t="s">
        <v>3345</v>
      </c>
      <c r="B5" s="18"/>
      <c r="C5" s="18"/>
      <c r="D5" s="18"/>
      <c r="E5" s="19"/>
      <c r="F5" s="67" t="s">
        <v>3346</v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1">
      <c r="A21" s="68" t="s">
        <v>3370</v>
      </c>
      <c r="B21" s="69"/>
      <c r="C21" s="69"/>
      <c r="D21" s="69"/>
      <c r="E21" s="69"/>
      <c r="F21" s="70"/>
      <c r="G21" s="69"/>
    </row>
    <row r="22">
      <c r="A22" s="71" t="s">
        <v>3349</v>
      </c>
      <c r="B22" s="72" t="s">
        <v>4</v>
      </c>
      <c r="C22" s="73"/>
      <c r="D22" s="73"/>
      <c r="E22" s="73"/>
      <c r="F22" s="73"/>
      <c r="G22" s="73"/>
    </row>
    <row r="23">
      <c r="A23" s="74" t="s">
        <v>10</v>
      </c>
      <c r="B23" s="75" t="s">
        <v>17</v>
      </c>
      <c r="C23" s="75" t="s">
        <v>42</v>
      </c>
      <c r="D23" s="75" t="s">
        <v>30</v>
      </c>
      <c r="E23" s="75" t="s">
        <v>200</v>
      </c>
      <c r="F23" s="75" t="s">
        <v>52</v>
      </c>
      <c r="G23" s="76" t="s">
        <v>3363</v>
      </c>
    </row>
    <row r="24">
      <c r="A24" s="77" t="s">
        <v>23</v>
      </c>
      <c r="B24" s="78">
        <v>51.0</v>
      </c>
      <c r="C24" s="78">
        <v>80.0</v>
      </c>
      <c r="D24" s="78">
        <v>84.0</v>
      </c>
      <c r="E24" s="78">
        <v>49.0</v>
      </c>
      <c r="F24" s="78">
        <v>53.0</v>
      </c>
      <c r="G24" s="78">
        <v>317.0</v>
      </c>
      <c r="H24" s="18"/>
      <c r="I24" s="18"/>
      <c r="J24" s="18"/>
      <c r="K24" s="18"/>
      <c r="L24" s="18"/>
    </row>
    <row r="25">
      <c r="A25" s="77" t="s">
        <v>81</v>
      </c>
      <c r="B25" s="78">
        <v>87.0</v>
      </c>
      <c r="C25" s="78">
        <v>66.0</v>
      </c>
      <c r="D25" s="78">
        <v>49.0</v>
      </c>
      <c r="E25" s="78">
        <v>52.0</v>
      </c>
      <c r="F25" s="78">
        <v>62.0</v>
      </c>
      <c r="G25" s="78">
        <v>316.0</v>
      </c>
      <c r="H25" s="18"/>
      <c r="I25" s="18"/>
      <c r="J25" s="18"/>
      <c r="K25" s="18"/>
      <c r="L25" s="18"/>
    </row>
    <row r="26">
      <c r="A26" s="77" t="s">
        <v>88</v>
      </c>
      <c r="B26" s="78">
        <v>76.0</v>
      </c>
      <c r="C26" s="78">
        <v>45.0</v>
      </c>
      <c r="D26" s="78">
        <v>69.0</v>
      </c>
      <c r="E26" s="78">
        <v>72.0</v>
      </c>
      <c r="F26" s="78">
        <v>49.0</v>
      </c>
      <c r="G26" s="78">
        <v>311.0</v>
      </c>
      <c r="H26" s="18"/>
      <c r="I26" s="18"/>
      <c r="J26" s="18"/>
      <c r="K26" s="18"/>
      <c r="L26" s="18"/>
    </row>
    <row r="27">
      <c r="A27" s="77" t="s">
        <v>35</v>
      </c>
      <c r="B27" s="78">
        <v>72.0</v>
      </c>
      <c r="C27" s="78">
        <v>60.0</v>
      </c>
      <c r="D27" s="78">
        <v>36.0</v>
      </c>
      <c r="E27" s="78">
        <v>74.0</v>
      </c>
      <c r="F27" s="78">
        <v>55.0</v>
      </c>
      <c r="G27" s="78">
        <v>297.0</v>
      </c>
      <c r="H27" s="18"/>
      <c r="I27" s="18"/>
      <c r="J27" s="18"/>
      <c r="K27" s="18"/>
      <c r="L27" s="18"/>
    </row>
    <row r="28">
      <c r="A28" s="77" t="s">
        <v>121</v>
      </c>
      <c r="B28" s="78">
        <v>41.0</v>
      </c>
      <c r="C28" s="78">
        <v>62.0</v>
      </c>
      <c r="D28" s="78">
        <v>54.0</v>
      </c>
      <c r="E28" s="78">
        <v>44.0</v>
      </c>
      <c r="F28" s="78">
        <v>57.0</v>
      </c>
      <c r="G28" s="78">
        <v>258.0</v>
      </c>
      <c r="H28" s="18"/>
      <c r="I28" s="18"/>
      <c r="J28" s="18"/>
      <c r="K28" s="18"/>
      <c r="L28" s="18"/>
    </row>
    <row r="29">
      <c r="A29" s="79" t="s">
        <v>3363</v>
      </c>
      <c r="B29" s="80">
        <v>327.0</v>
      </c>
      <c r="C29" s="80">
        <v>313.0</v>
      </c>
      <c r="D29" s="80">
        <v>292.0</v>
      </c>
      <c r="E29" s="80">
        <v>291.0</v>
      </c>
      <c r="F29" s="80">
        <v>276.0</v>
      </c>
      <c r="G29" s="80">
        <v>1499.0</v>
      </c>
      <c r="H29" s="18"/>
      <c r="I29" s="18"/>
      <c r="J29" s="18"/>
      <c r="K29" s="18"/>
      <c r="L29" s="18"/>
    </row>
    <row r="32">
      <c r="A32" s="81" t="s">
        <v>3384</v>
      </c>
    </row>
    <row r="47">
      <c r="G47" s="81" t="s">
        <v>3385</v>
      </c>
    </row>
    <row r="51">
      <c r="A51" s="31"/>
    </row>
    <row r="54">
      <c r="B54" s="18"/>
      <c r="C54" s="18"/>
      <c r="D54" s="18"/>
      <c r="E54" s="18"/>
      <c r="F54" s="18"/>
      <c r="G54" s="18"/>
    </row>
    <row r="55">
      <c r="B55" s="18"/>
      <c r="C55" s="18"/>
      <c r="D55" s="18"/>
      <c r="E55" s="18"/>
      <c r="F55" s="18"/>
      <c r="G55" s="18"/>
    </row>
    <row r="56">
      <c r="B56" s="18"/>
      <c r="C56" s="18"/>
      <c r="D56" s="18"/>
      <c r="E56" s="18"/>
      <c r="F56" s="18"/>
      <c r="G56" s="18"/>
    </row>
    <row r="57">
      <c r="B57" s="18"/>
      <c r="C57" s="18"/>
      <c r="D57" s="18"/>
      <c r="E57" s="18"/>
      <c r="F57" s="18"/>
      <c r="G57" s="18"/>
    </row>
    <row r="58">
      <c r="B58" s="18"/>
      <c r="C58" s="18"/>
      <c r="D58" s="18"/>
      <c r="E58" s="18"/>
      <c r="F58" s="18"/>
      <c r="G58" s="18"/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</cols>
  <sheetData>
    <row r="1">
      <c r="A1" s="82"/>
    </row>
    <row r="2">
      <c r="A2" s="82" t="s">
        <v>3386</v>
      </c>
    </row>
    <row r="3">
      <c r="A3" s="82">
        <v>1.0</v>
      </c>
      <c r="B3" s="1" t="s">
        <v>3387</v>
      </c>
    </row>
    <row r="4">
      <c r="A4" s="82">
        <v>2.0</v>
      </c>
      <c r="B4" s="1" t="s">
        <v>3388</v>
      </c>
    </row>
    <row r="5">
      <c r="A5" s="82"/>
      <c r="B5" s="20" t="s">
        <v>3389</v>
      </c>
    </row>
    <row r="6">
      <c r="A6" s="82">
        <v>3.0</v>
      </c>
      <c r="B6" s="20" t="s">
        <v>3390</v>
      </c>
    </row>
    <row r="7">
      <c r="A7" s="82"/>
    </row>
    <row r="8">
      <c r="A8" s="82" t="s">
        <v>3391</v>
      </c>
    </row>
    <row r="9">
      <c r="A9" s="82">
        <v>1.0</v>
      </c>
      <c r="B9" s="55" t="s">
        <v>3392</v>
      </c>
    </row>
    <row r="10">
      <c r="A10" s="82"/>
      <c r="B10" s="1" t="s">
        <v>3393</v>
      </c>
    </row>
    <row r="11">
      <c r="A11" s="82"/>
      <c r="B11" s="1" t="s">
        <v>3394</v>
      </c>
    </row>
    <row r="12">
      <c r="A12" s="82">
        <v>2.0</v>
      </c>
      <c r="B12" s="1" t="s">
        <v>3395</v>
      </c>
    </row>
    <row r="13">
      <c r="A13" s="82">
        <v>3.0</v>
      </c>
      <c r="B13" s="1" t="s">
        <v>3396</v>
      </c>
    </row>
    <row r="14">
      <c r="A14" s="82"/>
      <c r="B14" s="1" t="s">
        <v>3397</v>
      </c>
    </row>
    <row r="15">
      <c r="A15" s="82">
        <v>4.0</v>
      </c>
      <c r="B15" s="1" t="s">
        <v>3377</v>
      </c>
    </row>
    <row r="16">
      <c r="A16" s="82"/>
      <c r="B16" s="1" t="s">
        <v>3378</v>
      </c>
    </row>
    <row r="17">
      <c r="A17" s="82"/>
      <c r="B17" s="55" t="s">
        <v>3379</v>
      </c>
    </row>
    <row r="18">
      <c r="A18" s="82"/>
    </row>
    <row r="19">
      <c r="A19" s="82" t="s">
        <v>3398</v>
      </c>
    </row>
    <row r="20">
      <c r="A20" s="82">
        <v>1.0</v>
      </c>
      <c r="B20" s="1" t="s">
        <v>3399</v>
      </c>
    </row>
    <row r="21">
      <c r="A21" s="82">
        <v>2.0</v>
      </c>
      <c r="B21" s="1" t="s">
        <v>3400</v>
      </c>
    </row>
    <row r="22">
      <c r="A22" s="82"/>
      <c r="B22" s="1" t="s">
        <v>3401</v>
      </c>
    </row>
    <row r="23">
      <c r="A23" s="82">
        <v>3.0</v>
      </c>
      <c r="B23" s="1" t="s">
        <v>3402</v>
      </c>
    </row>
    <row r="24">
      <c r="A24" s="82"/>
      <c r="B24" s="1" t="s">
        <v>3403</v>
      </c>
    </row>
    <row r="25">
      <c r="A25" s="82">
        <v>4.0</v>
      </c>
      <c r="B25" s="20" t="s">
        <v>3404</v>
      </c>
    </row>
  </sheetData>
  <drawing r:id="rId1"/>
</worksheet>
</file>